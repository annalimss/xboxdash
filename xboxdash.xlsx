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395" documentId="13_ncr:1_{3C2F8ED6-40B2-4E08-832A-7140AC03FA60}" xr6:coauthVersionLast="47" xr6:coauthVersionMax="47" xr10:uidLastSave="{6DD94C58-B54A-48C4-9583-E2125A9F1AD1}"/>
  <bookViews>
    <workbookView xWindow="-120" yWindow="-120" windowWidth="20730" windowHeight="11040" firstSheet="5" activeTab="5" xr2:uid="{28DD5B76-0634-4F87-BE60-8BFA7EF2E23B}"/>
  </bookViews>
  <sheets>
    <sheet name="A̳ssets" sheetId="1" state="hidden" r:id="rId1"/>
    <sheet name="B̳ases" sheetId="2" state="hidden" r:id="rId2"/>
    <sheet name="Sheet1" sheetId="5" state="hidden" r:id="rId3"/>
    <sheet name="Sheet2" sheetId="6" state="hidden" r:id="rId4"/>
    <sheet name="Sheet3" sheetId="7" state="hidden" r:id="rId5"/>
    <sheet name="D̳ashboard" sheetId="4" r:id="rId6"/>
  </sheets>
  <definedNames>
    <definedName name="Slicer_Subscription_Type">#N/A</definedName>
  </definedNames>
  <calcPr calcId="191028"/>
  <pivotCaches>
    <pivotCache cacheId="101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L18" i="4" s="1"/>
  <c r="E7" i="6"/>
  <c r="L10" i="4" s="1"/>
</calcChain>
</file>

<file path=xl/sharedStrings.xml><?xml version="1.0" encoding="utf-8"?>
<sst xmlns="http://schemas.openxmlformats.org/spreadsheetml/2006/main" count="2029" uniqueCount="324">
  <si>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</si>
  <si>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</si>
  <si>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</si>
  <si>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</si>
  <si>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</si>
  <si>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</si>
  <si>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</si>
  <si>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</si>
  <si>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</si>
  <si>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</si>
  <si>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</si>
  <si>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</si>
  <si>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</si>
  <si>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</si>
  <si>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</si>
  <si>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</si>
  <si>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</si>
  <si>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</si>
  <si>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</si>
  <si>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</si>
  <si>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</si>
  <si>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</si>
  <si>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</si>
  <si>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</si>
  <si>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</si>
  <si>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</si>
  <si>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</si>
  <si>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</si>
  <si>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</si>
  <si>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</si>
  <si>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</si>
  <si>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</si>
  <si>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</si>
  <si>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</si>
  <si>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</si>
  <si>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</si>
  <si>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</si>
  <si>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</si>
  <si>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</si>
  <si>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</si>
  <si>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</si>
  <si>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</si>
  <si>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</si>
  <si>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</si>
  <si>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</si>
  <si>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</si>
  <si>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</si>
  <si>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</si>
  <si>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</si>
  <si>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</si>
  <si>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</si>
  <si>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</si>
  <si>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</si>
  <si>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</si>
  <si>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</si>
  <si>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</si>
  <si>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</si>
  <si>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</si>
  <si>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</si>
  <si>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</si>
  <si>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</si>
  <si>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</si>
  <si>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</si>
  <si>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</si>
  <si>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</si>
  <si>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</si>
  <si>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</si>
  <si>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</si>
  <si>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</si>
  <si>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</si>
  <si>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</si>
  <si>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</si>
  <si>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</si>
  <si>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</si>
  <si>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</si>
  <si>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</si>
  <si>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</si>
  <si>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</si>
  <si>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</si>
  <si>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</si>
  <si>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</si>
  <si>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</si>
  <si>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</si>
  <si>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</si>
  <si>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</si>
  <si>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</si>
  <si>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</si>
  <si>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</si>
  <si>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</si>
  <si>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</si>
  <si>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</si>
  <si>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</si>
  <si>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</si>
  <si>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</si>
  <si>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</si>
  <si>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</si>
  <si>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</si>
  <si>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</si>
  <si>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</si>
  <si>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</si>
  <si>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</si>
  <si>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</si>
  <si>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</si>
  <si>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</si>
  <si>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</si>
  <si>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</si>
  <si>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</si>
  <si>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</si>
  <si>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</si>
  <si>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</si>
  <si>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</si>
  <si>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</si>
  <si>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</si>
  <si>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</si>
  <si>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</si>
  <si>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</si>
  <si>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</si>
  <si>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</si>
  <si>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</si>
  <si>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</si>
  <si>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</si>
  <si>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</si>
  <si>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</si>
  <si>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</si>
  <si>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</si>
  <si>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</si>
  <si>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</si>
  <si>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</si>
  <si>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</si>
  <si>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</si>
  <si>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</si>
  <si>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</si>
  <si>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</si>
  <si>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</si>
  <si>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</si>
  <si>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</si>
  <si>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</si>
  <si>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</si>
  <si>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</si>
  <si>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</si>
  <si>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</si>
  <si>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</si>
  <si>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</si>
  <si>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</si>
  <si>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</si>
  <si>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</si>
  <si>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</si>
  <si>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</si>
  <si>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</si>
  <si>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</si>
  <si>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</si>
  <si>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</si>
  <si>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</si>
  <si>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</si>
  <si>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</si>
  <si>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</si>
  <si>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</si>
  <si>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</si>
  <si>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</si>
  <si>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</si>
  <si>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</si>
  <si>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</si>
  <si>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</si>
  <si>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</si>
  <si>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</si>
  <si>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</si>
  <si>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</si>
  <si>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</si>
  <si>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</si>
  <si>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</si>
  <si>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</si>
  <si>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</si>
  <si>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</si>
  <si>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</si>
  <si>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</si>
  <si>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</si>
  <si>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</si>
  <si>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</si>
  <si>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</si>
  <si>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</si>
  <si>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</si>
  <si>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</si>
  <si>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</si>
  <si>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</si>
  <si>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</si>
  <si>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</si>
  <si>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</si>
  <si>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</si>
  <si>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</si>
  <si>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</si>
  <si>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</si>
  <si>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</si>
  <si>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</si>
  <si>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</si>
  <si>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</si>
  <si>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</si>
  <si>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</si>
  <si>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</si>
  <si>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</si>
  <si>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</si>
  <si>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</si>
  <si>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</si>
  <si>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</si>
  <si>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</si>
  <si>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</si>
  <si>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</si>
  <si>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</si>
  <si>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</si>
  <si>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</si>
  <si>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</si>
  <si>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</si>
  <si>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</si>
  <si>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</si>
  <si>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</si>
  <si>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</si>
  <si>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</si>
  <si>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</si>
  <si>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</si>
  <si>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</si>
  <si>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</si>
  <si>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</si>
  <si>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</si>
  <si>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</si>
  <si>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</si>
  <si>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</si>
  <si>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</si>
  <si>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</si>
  <si>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</si>
  <si>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</si>
  <si>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</si>
  <si>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</si>
  <si>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</si>
  <si>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</si>
  <si>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</si>
  <si>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</si>
  <si>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</si>
  <si>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</si>
  <si>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</si>
  <si>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</si>
  <si>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</si>
  <si>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</si>
  <si>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</si>
  <si>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</si>
  <si>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</si>
  <si>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</si>
  <si>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</si>
  <si>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</si>
  <si>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</si>
  <si>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</si>
  <si>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</si>
  <si>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</si>
  <si>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</si>
  <si>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</si>
  <si>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</si>
  <si>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</si>
  <si>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</si>
  <si>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</si>
  <si>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</si>
  <si>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</si>
  <si>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</si>
  <si>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</si>
  <si>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</si>
  <si>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</si>
  <si>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</si>
  <si>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</si>
  <si>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</si>
  <si>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</si>
  <si>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</si>
  <si>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</si>
  <si>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</si>
  <si>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</si>
  <si>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</si>
  <si>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</si>
  <si>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</si>
  <si>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</si>
  <si>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</si>
  <si>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</si>
  <si>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</si>
  <si>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</si>
  <si>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</si>
  <si>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</si>
  <si>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</si>
  <si>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</si>
  <si>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</si>
  <si>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</si>
  <si>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</si>
  <si>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</si>
  <si>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</si>
  <si>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</si>
  <si>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</si>
  <si>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</si>
  <si>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</si>
  <si>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</si>
  <si>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</si>
  <si>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</si>
  <si>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</si>
  <si>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</si>
  <si>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</si>
  <si>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</si>
  <si>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</si>
  <si>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</si>
  <si>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</si>
  <si>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</si>
  <si>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</si>
  <si>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</si>
  <si>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</si>
  <si>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</si>
  <si>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</si>
  <si>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</si>
  <si>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</si>
  <si>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</si>
  <si>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</si>
  <si>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</si>
  <si>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rPr>
        <sz val="11"/>
        <color rgb="FF000000"/>
        <rFont val="Aptos Narrow"/>
      </rPr>
      <t>Pergunta de Negócio 1 - Qual faturamento</t>
    </r>
    <r>
      <rPr>
        <b/>
        <sz val="11"/>
        <color rgb="FF000000"/>
        <rFont val="Aptos Narrow"/>
      </rPr>
      <t xml:space="preserve"> total de vendas</t>
    </r>
    <r>
      <rPr>
        <sz val="11"/>
        <color rgb="FF000000"/>
        <rFont val="Aptos Narrow"/>
      </rPr>
      <t xml:space="preserve"> de planos anuais? (contendo todas as assinaturas agregadas)</t>
    </r>
  </si>
  <si>
    <r>
      <rPr>
        <sz val="11"/>
        <color rgb="FF000000"/>
        <rFont val="Aptos Narrow"/>
      </rPr>
      <t xml:space="preserve">Pergunta de Negócio 2 - Qual faturamento total de vendas de planos anuais? </t>
    </r>
    <r>
      <rPr>
        <b/>
        <sz val="11"/>
        <color rgb="FF000000"/>
        <rFont val="Aptos Narrow"/>
      </rPr>
      <t>(diferenciando entre auto-renovação e demais casos)</t>
    </r>
  </si>
  <si>
    <t>Sum of Total Value</t>
  </si>
  <si>
    <t>Annual Total</t>
  </si>
  <si>
    <t>Grand Total</t>
  </si>
  <si>
    <t>Sum of EA Play Season PassPrice</t>
  </si>
  <si>
    <t>Sum of Minecraft Season Pass Price</t>
  </si>
  <si>
    <t xml:space="preserve">    &gt; Bem-vinda, Liana                                                                                                XBOX GAME PASS SUBSCRIPTIONS SALES</t>
  </si>
  <si>
    <t>Período de apuração: 01/01/2024 - 31/12/2024 | Atualizado: 25/12/2024 16:29:36</t>
  </si>
  <si>
    <t>TOTAL SUBSCRIPTIONS EA PLAY SEASON PASS</t>
  </si>
  <si>
    <t>TOTAL SUBSCRIPTIONS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</si>
</sst>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AE6B1"/>
      <name val="Aptos Narrow"/>
      <family val="2"/>
      <scheme val="minor"/>
    </font>
    <font>
      <b/>
      <sz val="18"/>
      <color rgb="FFFF4545"/>
      <name val="Aptos Narrow"/>
      <family val="2"/>
      <scheme val="minor"/>
    </font>
    <font>
      <b/>
      <sz val="11"/>
      <color rgb="FFFF4545"/>
      <name val="Segoe UI"/>
    </font>
    <font>
      <b/>
      <sz val="11"/>
      <color rgb="FFB5E6A2"/>
      <name val="Segoe UI"/>
    </font>
    <font>
      <b/>
      <sz val="18"/>
      <color theme="1"/>
      <name val="Aptos Narrow"/>
      <family val="2"/>
      <scheme val="minor"/>
    </font>
    <font>
      <b/>
      <sz val="11"/>
      <color rgb="FF000000"/>
      <name val="Segoe UI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0.59999389629810485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4" fillId="0" borderId="0" xfId="0" applyFont="1"/>
    <xf numFmtId="0" fontId="0" fillId="8" borderId="0" xfId="0" applyFill="1"/>
    <xf numFmtId="0" fontId="0" fillId="0" borderId="0" xfId="0" applyFill="1"/>
    <xf numFmtId="0" fontId="0" fillId="0" borderId="0" xfId="0" applyNumberFormat="1"/>
    <xf numFmtId="0" fontId="6" fillId="9" borderId="0" xfId="0" applyFont="1" applyFill="1"/>
    <xf numFmtId="164" fontId="0" fillId="0" borderId="0" xfId="0" applyNumberFormat="1"/>
    <xf numFmtId="164" fontId="7" fillId="9" borderId="0" xfId="0" applyNumberFormat="1" applyFont="1" applyFill="1" applyAlignment="1">
      <alignment horizontal="center" vertical="center"/>
    </xf>
    <xf numFmtId="0" fontId="0" fillId="9" borderId="0" xfId="0" applyFill="1"/>
    <xf numFmtId="0" fontId="1" fillId="0" borderId="2" xfId="1" applyFill="1" applyBorder="1"/>
    <xf numFmtId="0" fontId="9" fillId="0" borderId="2" xfId="1" applyFont="1" applyFill="1" applyBorder="1"/>
    <xf numFmtId="164" fontId="10" fillId="9" borderId="0" xfId="0" applyNumberFormat="1" applyFont="1" applyFill="1" applyAlignment="1">
      <alignment horizontal="center" vertical="center"/>
    </xf>
    <xf numFmtId="0" fontId="6" fillId="8" borderId="0" xfId="0" applyFont="1" applyFill="1"/>
    <xf numFmtId="0" fontId="8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0" fillId="0" borderId="2" xfId="0" applyBorder="1"/>
  </cellXfs>
  <cellStyles count="3">
    <cellStyle name="Currency" xfId="2" builtinId="4"/>
    <cellStyle name="Heading 1" xfId="1" builtinId="16"/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8E6E9"/>
      <color rgb="FFEDEDED"/>
      <color rgb="FFE0E0E0"/>
      <color rgb="FFFF4545"/>
      <color rgb="FF2AE6B1"/>
      <color rgb="FFFFFFFF"/>
      <color rgb="FFD41CD4"/>
      <color rgb="FF22C55E"/>
      <color rgb="FF5BF6A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[805d54f9-6d53-4246-bed7-4aa2da615923.xlsx]Sheet1!tbl_anual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Sheet1!$A$9:$B$12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Sheet1!$C$9:$C$12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50-44E4-90AB-293AC8E14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2831111"/>
        <c:axId val="1262833159"/>
      </c:barChart>
      <c:catAx>
        <c:axId val="126283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833159"/>
        <c:crosses val="autoZero"/>
        <c:auto val="1"/>
        <c:lblAlgn val="ctr"/>
        <c:lblOffset val="100"/>
        <c:noMultiLvlLbl val="0"/>
      </c:catAx>
      <c:valAx>
        <c:axId val="1262833159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831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[805d54f9-6d53-4246-bed7-4aa2da615923.xlsx]Sheet1!tbl_anual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SUBSCRIPTIONS XBOX GAME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5E6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Sheet1!$A$9:$B$12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Sheet1!$C$9:$C$12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3-4118-BC6C-E5009E639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62831111"/>
        <c:axId val="1262833159"/>
      </c:barChart>
      <c:catAx>
        <c:axId val="126283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833159"/>
        <c:crosses val="autoZero"/>
        <c:auto val="1"/>
        <c:lblAlgn val="ctr"/>
        <c:lblOffset val="100"/>
        <c:noMultiLvlLbl val="0"/>
      </c:catAx>
      <c:valAx>
        <c:axId val="126283315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6283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deviantart.com/writingtextandpoems/art/LOGO-Minecraft-Logo-Rusted-359417427" TargetMode="External"/><Relationship Id="rId4" Type="http://schemas.openxmlformats.org/officeDocument/2006/relationships/image" Target="../media/image1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5</xdr:row>
      <xdr:rowOff>133350</xdr:rowOff>
    </xdr:from>
    <xdr:to>
      <xdr:col>19</xdr:col>
      <xdr:colOff>190500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60BAC-7E25-ED65-0913-0536BE537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142875</xdr:colOff>
      <xdr:row>5</xdr:row>
      <xdr:rowOff>161925</xdr:rowOff>
    </xdr:from>
    <xdr:to>
      <xdr:col>7</xdr:col>
      <xdr:colOff>142875</xdr:colOff>
      <xdr:row>12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A896F812-E714-89F0-8DE4-F9158EFF2EF4}"/>
                </a:ext>
                <a:ext uri="{147F2762-F138-4A5C-976F-8EAC2B608ADB}">
                  <a16:predDERef xmlns:a16="http://schemas.microsoft.com/office/drawing/2014/main" pred="{55560BAC-7E25-ED65-0913-0536BE537A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114425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2314575</xdr:colOff>
      <xdr:row>0</xdr:row>
      <xdr:rowOff>971550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0A9D2-CC0D-4DD4-AC41-1870F5ABC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86075" cy="971550"/>
        </a:xfrm>
        <a:prstGeom prst="rect">
          <a:avLst/>
        </a:prstGeom>
      </xdr:spPr>
    </xdr:pic>
    <xdr:clientData/>
  </xdr:twoCellAnchor>
  <xdr:twoCellAnchor>
    <xdr:from>
      <xdr:col>0</xdr:col>
      <xdr:colOff>447675</xdr:colOff>
      <xdr:row>5</xdr:row>
      <xdr:rowOff>85725</xdr:rowOff>
    </xdr:from>
    <xdr:to>
      <xdr:col>4</xdr:col>
      <xdr:colOff>390525</xdr:colOff>
      <xdr:row>23</xdr:row>
      <xdr:rowOff>28575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1CC37B8-3009-4DE1-B616-C605FC9E4A08}"/>
            </a:ext>
            <a:ext uri="{147F2762-F138-4A5C-976F-8EAC2B608ADB}">
              <a16:predDERef xmlns:a16="http://schemas.microsoft.com/office/drawing/2014/main" pred="{3740A9D2-CC0D-4DD4-AC41-1870F5ABC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38100</xdr:colOff>
      <xdr:row>10</xdr:row>
      <xdr:rowOff>76200</xdr:rowOff>
    </xdr:from>
    <xdr:to>
      <xdr:col>8</xdr:col>
      <xdr:colOff>38100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ubscription Type 1">
              <a:extLst>
                <a:ext uri="{FF2B5EF4-FFF2-40B4-BE49-F238E27FC236}">
                  <a16:creationId xmlns:a16="http://schemas.microsoft.com/office/drawing/2014/main" id="{1CF95209-2687-96B8-294B-20CC321D049D}"/>
                </a:ext>
                <a:ext uri="{147F2762-F138-4A5C-976F-8EAC2B608ADB}">
                  <a16:predDERef xmlns:a16="http://schemas.microsoft.com/office/drawing/2014/main" pred="{21CC37B8-3009-4DE1-B616-C605FC9E4A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9350" y="2514600"/>
              <a:ext cx="18288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5</xdr:row>
      <xdr:rowOff>57150</xdr:rowOff>
    </xdr:from>
    <xdr:to>
      <xdr:col>11</xdr:col>
      <xdr:colOff>85725</xdr:colOff>
      <xdr:row>9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74E306-42AC-4D41-AD56-98F7831A5B3D}"/>
            </a:ext>
            <a:ext uri="{147F2762-F138-4A5C-976F-8EAC2B608ADB}">
              <a16:predDERef xmlns:a16="http://schemas.microsoft.com/office/drawing/2014/main" pred="{1CF95209-2687-96B8-294B-20CC321D0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1857375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12</xdr:row>
      <xdr:rowOff>123825</xdr:rowOff>
    </xdr:from>
    <xdr:to>
      <xdr:col>11</xdr:col>
      <xdr:colOff>752475</xdr:colOff>
      <xdr:row>17</xdr:row>
      <xdr:rowOff>285750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11A1DC-2F04-0421-26E8-6F26DF0947B7}"/>
            </a:ext>
            <a:ext uri="{147F2762-F138-4A5C-976F-8EAC2B608ADB}">
              <a16:predDERef xmlns:a16="http://schemas.microsoft.com/office/drawing/2014/main" pred="{F474E306-42AC-4D41-AD56-98F7831A5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9048750" y="3390900"/>
          <a:ext cx="1790700" cy="1114425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</xdr:row>
      <xdr:rowOff>57150</xdr:rowOff>
    </xdr:from>
    <xdr:to>
      <xdr:col>0</xdr:col>
      <xdr:colOff>504825</xdr:colOff>
      <xdr:row>3</xdr:row>
      <xdr:rowOff>104775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98069A1-8698-421C-A7F6-5A22140D098F}"/>
            </a:ext>
            <a:ext uri="{147F2762-F138-4A5C-976F-8EAC2B608ADB}">
              <a16:predDERef xmlns:a16="http://schemas.microsoft.com/office/drawing/2014/main" pred="{FB11A1DC-2F04-0421-26E8-6F26DF0947B7}"/>
            </a:ext>
          </a:extLst>
        </xdr:cNvPr>
        <xdr:cNvSpPr/>
      </xdr:nvSpPr>
      <xdr:spPr>
        <a:xfrm>
          <a:off x="57150" y="1104900"/>
          <a:ext cx="447675" cy="4191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2.764754050928" createdVersion="8" refreshedVersion="8" minRefreshableVersion="3" recordCount="295" xr:uid="{509361E9-0CCD-41A7-9BEF-4EE5D4C0F10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573804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x v="0"/>
    <n v="5"/>
    <n v="60"/>
  </r>
  <r>
    <n v="3232"/>
    <s v="Maria Oliveira"/>
    <x v="1"/>
    <d v="2024-01-15T00:00:00"/>
    <x v="1"/>
    <n v="5"/>
    <x v="1"/>
    <s v="No"/>
    <x v="1"/>
    <s v="No"/>
    <x v="1"/>
    <n v="0"/>
    <n v="5"/>
  </r>
  <r>
    <n v="3233"/>
    <s v="Lucas Fernandes"/>
    <x v="2"/>
    <d v="2024-02-10T00:00:00"/>
    <x v="0"/>
    <n v="10"/>
    <x v="2"/>
    <s v="No"/>
    <x v="1"/>
    <s v="Yes"/>
    <x v="0"/>
    <n v="10"/>
    <n v="20"/>
  </r>
  <r>
    <n v="3234"/>
    <s v="Ana Souza"/>
    <x v="0"/>
    <d v="2024-02-20T00:00:00"/>
    <x v="1"/>
    <n v="15"/>
    <x v="0"/>
    <s v="Yes"/>
    <x v="0"/>
    <s v="Yes"/>
    <x v="0"/>
    <n v="3"/>
    <n v="62"/>
  </r>
  <r>
    <n v="3235"/>
    <s v="Pedro Gonçalves"/>
    <x v="1"/>
    <d v="2024-03-05T00:00:00"/>
    <x v="0"/>
    <n v="5"/>
    <x v="0"/>
    <s v="No"/>
    <x v="1"/>
    <s v="No"/>
    <x v="1"/>
    <n v="1"/>
    <n v="4"/>
  </r>
  <r>
    <n v="3236"/>
    <s v="Felipe Costa"/>
    <x v="2"/>
    <d v="2024-03-02T00:00:00"/>
    <x v="1"/>
    <n v="10"/>
    <x v="0"/>
    <s v="No"/>
    <x v="1"/>
    <s v="Yes"/>
    <x v="0"/>
    <n v="2"/>
    <n v="28"/>
  </r>
  <r>
    <n v="3237"/>
    <s v="Camila Ribeiro"/>
    <x v="0"/>
    <d v="2024-03-03T00:00:00"/>
    <x v="0"/>
    <n v="15"/>
    <x v="2"/>
    <s v="Yes"/>
    <x v="0"/>
    <s v="Yes"/>
    <x v="0"/>
    <n v="10"/>
    <n v="55"/>
  </r>
  <r>
    <n v="3238"/>
    <s v="André Mendes"/>
    <x v="1"/>
    <d v="2024-03-04T00:00:00"/>
    <x v="0"/>
    <n v="5"/>
    <x v="1"/>
    <s v="No"/>
    <x v="1"/>
    <s v="No"/>
    <x v="1"/>
    <n v="0"/>
    <n v="5"/>
  </r>
  <r>
    <n v="3239"/>
    <s v="Sofia Almeida"/>
    <x v="0"/>
    <d v="2024-03-05T00:00:00"/>
    <x v="1"/>
    <n v="15"/>
    <x v="0"/>
    <s v="Yes"/>
    <x v="0"/>
    <s v="Yes"/>
    <x v="0"/>
    <n v="5"/>
    <n v="60"/>
  </r>
  <r>
    <n v="3240"/>
    <s v="Bruno Martins"/>
    <x v="2"/>
    <d v="2024-03-06T00:00:00"/>
    <x v="0"/>
    <n v="10"/>
    <x v="2"/>
    <s v="No"/>
    <x v="1"/>
    <s v="Yes"/>
    <x v="0"/>
    <n v="15"/>
    <n v="15"/>
  </r>
  <r>
    <n v="3241"/>
    <s v="Rita Castro"/>
    <x v="1"/>
    <d v="2024-03-07T00:00:00"/>
    <x v="1"/>
    <n v="5"/>
    <x v="0"/>
    <s v="No"/>
    <x v="1"/>
    <s v="No"/>
    <x v="1"/>
    <n v="1"/>
    <n v="4"/>
  </r>
  <r>
    <n v="3242"/>
    <s v="Marco Túlio"/>
    <x v="0"/>
    <d v="2024-03-08T00:00:00"/>
    <x v="0"/>
    <n v="15"/>
    <x v="1"/>
    <s v="Yes"/>
    <x v="0"/>
    <s v="Yes"/>
    <x v="0"/>
    <n v="20"/>
    <n v="45"/>
  </r>
  <r>
    <n v="3243"/>
    <s v="Lívia Silveira"/>
    <x v="2"/>
    <d v="2024-03-09T00:00:00"/>
    <x v="1"/>
    <n v="10"/>
    <x v="0"/>
    <s v="No"/>
    <x v="1"/>
    <s v="Yes"/>
    <x v="0"/>
    <n v="10"/>
    <n v="20"/>
  </r>
  <r>
    <n v="3244"/>
    <s v="Diogo Sousa"/>
    <x v="1"/>
    <d v="2024-03-10T00:00:00"/>
    <x v="0"/>
    <n v="5"/>
    <x v="2"/>
    <s v="No"/>
    <x v="1"/>
    <s v="No"/>
    <x v="1"/>
    <n v="0"/>
    <n v="5"/>
  </r>
  <r>
    <n v="3245"/>
    <s v="Fernanda Lima"/>
    <x v="0"/>
    <d v="2024-03-11T00:00:00"/>
    <x v="1"/>
    <n v="15"/>
    <x v="0"/>
    <s v="Yes"/>
    <x v="0"/>
    <s v="Yes"/>
    <x v="0"/>
    <n v="8"/>
    <n v="57"/>
  </r>
  <r>
    <n v="3246"/>
    <s v="Caio Pereira"/>
    <x v="2"/>
    <d v="2024-03-12T00:00:00"/>
    <x v="0"/>
    <n v="10"/>
    <x v="1"/>
    <s v="No"/>
    <x v="1"/>
    <s v="Yes"/>
    <x v="0"/>
    <n v="12"/>
    <n v="18"/>
  </r>
  <r>
    <n v="3247"/>
    <s v="Beatriz Gomes"/>
    <x v="1"/>
    <d v="2024-03-13T00:00:00"/>
    <x v="1"/>
    <n v="5"/>
    <x v="0"/>
    <s v="No"/>
    <x v="1"/>
    <s v="No"/>
    <x v="1"/>
    <n v="2"/>
    <n v="3"/>
  </r>
  <r>
    <n v="3248"/>
    <s v="Cesar Oliveira"/>
    <x v="0"/>
    <d v="2024-03-14T00:00:00"/>
    <x v="0"/>
    <n v="15"/>
    <x v="2"/>
    <s v="Yes"/>
    <x v="0"/>
    <s v="Yes"/>
    <x v="0"/>
    <n v="7"/>
    <n v="58"/>
  </r>
  <r>
    <n v="3249"/>
    <s v="Débora Machado"/>
    <x v="2"/>
    <d v="2024-03-15T00:00:00"/>
    <x v="1"/>
    <n v="10"/>
    <x v="0"/>
    <s v="No"/>
    <x v="1"/>
    <s v="Yes"/>
    <x v="0"/>
    <n v="5"/>
    <n v="25"/>
  </r>
  <r>
    <n v="3250"/>
    <s v="Eduardo Vargas"/>
    <x v="1"/>
    <d v="2024-03-16T00:00:00"/>
    <x v="0"/>
    <n v="5"/>
    <x v="1"/>
    <s v="No"/>
    <x v="1"/>
    <s v="No"/>
    <x v="1"/>
    <n v="0"/>
    <n v="5"/>
  </r>
  <r>
    <n v="3251"/>
    <s v="Gabriela Santos"/>
    <x v="0"/>
    <d v="2024-03-17T00:00:00"/>
    <x v="1"/>
    <n v="15"/>
    <x v="0"/>
    <s v="Yes"/>
    <x v="0"/>
    <s v="Yes"/>
    <x v="0"/>
    <n v="3"/>
    <n v="62"/>
  </r>
  <r>
    <n v="3252"/>
    <s v="Henrique Dias"/>
    <x v="2"/>
    <d v="2024-03-18T00:00:00"/>
    <x v="0"/>
    <n v="10"/>
    <x v="2"/>
    <s v="No"/>
    <x v="1"/>
    <s v="Yes"/>
    <x v="0"/>
    <n v="15"/>
    <n v="15"/>
  </r>
  <r>
    <n v="3253"/>
    <s v="Isabela Moreira"/>
    <x v="1"/>
    <d v="2024-03-19T00:00:00"/>
    <x v="1"/>
    <n v="5"/>
    <x v="0"/>
    <s v="No"/>
    <x v="1"/>
    <s v="No"/>
    <x v="1"/>
    <n v="1"/>
    <n v="4"/>
  </r>
  <r>
    <n v="3254"/>
    <s v="Joaquim Barbosa"/>
    <x v="0"/>
    <d v="2024-03-20T00:00:00"/>
    <x v="0"/>
    <n v="15"/>
    <x v="1"/>
    <s v="Yes"/>
    <x v="0"/>
    <s v="Yes"/>
    <x v="0"/>
    <n v="20"/>
    <n v="45"/>
  </r>
  <r>
    <n v="3255"/>
    <s v="Lara Rocha"/>
    <x v="2"/>
    <d v="2024-03-21T00:00:00"/>
    <x v="1"/>
    <n v="10"/>
    <x v="0"/>
    <s v="No"/>
    <x v="1"/>
    <s v="Yes"/>
    <x v="0"/>
    <n v="10"/>
    <n v="20"/>
  </r>
  <r>
    <n v="3256"/>
    <s v="Matheus Silva"/>
    <x v="1"/>
    <d v="2024-03-22T00:00:00"/>
    <x v="0"/>
    <n v="5"/>
    <x v="2"/>
    <s v="No"/>
    <x v="1"/>
    <s v="No"/>
    <x v="1"/>
    <n v="0"/>
    <n v="5"/>
  </r>
  <r>
    <n v="3257"/>
    <s v="Nicole Costa"/>
    <x v="0"/>
    <d v="2024-03-23T00:00:00"/>
    <x v="1"/>
    <n v="15"/>
    <x v="0"/>
    <s v="Yes"/>
    <x v="0"/>
    <s v="Yes"/>
    <x v="0"/>
    <n v="5"/>
    <n v="60"/>
  </r>
  <r>
    <n v="3258"/>
    <s v="Otávio Mendonça"/>
    <x v="2"/>
    <d v="2024-03-24T00:00:00"/>
    <x v="0"/>
    <n v="10"/>
    <x v="1"/>
    <s v="No"/>
    <x v="1"/>
    <s v="Yes"/>
    <x v="0"/>
    <n v="15"/>
    <n v="15"/>
  </r>
  <r>
    <n v="3259"/>
    <s v="Paula Ferreira"/>
    <x v="1"/>
    <d v="2024-03-25T00:00:00"/>
    <x v="1"/>
    <n v="5"/>
    <x v="0"/>
    <s v="No"/>
    <x v="1"/>
    <s v="No"/>
    <x v="1"/>
    <n v="1"/>
    <n v="4"/>
  </r>
  <r>
    <n v="3260"/>
    <s v="Raquel Alves"/>
    <x v="0"/>
    <d v="2024-03-26T00:00:00"/>
    <x v="0"/>
    <n v="15"/>
    <x v="2"/>
    <s v="Yes"/>
    <x v="0"/>
    <s v="Yes"/>
    <x v="0"/>
    <n v="7"/>
    <n v="58"/>
  </r>
  <r>
    <n v="3261"/>
    <s v="Samuel Pires"/>
    <x v="2"/>
    <d v="2024-03-27T00:00:00"/>
    <x v="1"/>
    <n v="10"/>
    <x v="0"/>
    <s v="No"/>
    <x v="1"/>
    <s v="Yes"/>
    <x v="0"/>
    <n v="10"/>
    <n v="20"/>
  </r>
  <r>
    <n v="3262"/>
    <s v="Tânia Barros"/>
    <x v="1"/>
    <d v="2024-03-28T00:00:00"/>
    <x v="0"/>
    <n v="5"/>
    <x v="1"/>
    <s v="No"/>
    <x v="1"/>
    <s v="No"/>
    <x v="1"/>
    <n v="0"/>
    <n v="5"/>
  </r>
  <r>
    <n v="3263"/>
    <s v="Vinicius Lima"/>
    <x v="0"/>
    <d v="2024-03-29T00:00:00"/>
    <x v="1"/>
    <n v="15"/>
    <x v="0"/>
    <s v="Yes"/>
    <x v="0"/>
    <s v="Yes"/>
    <x v="0"/>
    <n v="3"/>
    <n v="62"/>
  </r>
  <r>
    <n v="3264"/>
    <s v="Yasmin Teixeira"/>
    <x v="2"/>
    <d v="2024-03-30T00:00:00"/>
    <x v="0"/>
    <n v="10"/>
    <x v="2"/>
    <s v="No"/>
    <x v="1"/>
    <s v="Yes"/>
    <x v="0"/>
    <n v="15"/>
    <n v="15"/>
  </r>
  <r>
    <n v="3265"/>
    <s v="Zé Carlos"/>
    <x v="1"/>
    <d v="2024-03-31T00:00:00"/>
    <x v="1"/>
    <n v="5"/>
    <x v="0"/>
    <s v="No"/>
    <x v="1"/>
    <s v="No"/>
    <x v="1"/>
    <n v="1"/>
    <n v="4"/>
  </r>
  <r>
    <n v="3266"/>
    <s v="Amanda Nogueira"/>
    <x v="1"/>
    <d v="2024-04-01T00:00:00"/>
    <x v="0"/>
    <n v="5"/>
    <x v="0"/>
    <s v="No"/>
    <x v="1"/>
    <s v="No"/>
    <x v="1"/>
    <n v="0"/>
    <n v="5"/>
  </r>
  <r>
    <n v="3267"/>
    <s v="Bruno Cavalheiro"/>
    <x v="0"/>
    <d v="2024-04-02T00:00:00"/>
    <x v="1"/>
    <n v="15"/>
    <x v="2"/>
    <s v="Yes"/>
    <x v="0"/>
    <s v="Yes"/>
    <x v="0"/>
    <n v="7"/>
    <n v="58"/>
  </r>
  <r>
    <n v="3268"/>
    <s v="Carla Dias"/>
    <x v="2"/>
    <d v="2024-04-03T00:00:00"/>
    <x v="0"/>
    <n v="10"/>
    <x v="1"/>
    <s v="No"/>
    <x v="1"/>
    <s v="Yes"/>
    <x v="0"/>
    <n v="10"/>
    <n v="20"/>
  </r>
  <r>
    <n v="3269"/>
    <s v="Diego Fontes"/>
    <x v="1"/>
    <d v="2024-04-04T00:00:00"/>
    <x v="1"/>
    <n v="5"/>
    <x v="2"/>
    <s v="No"/>
    <x v="1"/>
    <s v="No"/>
    <x v="1"/>
    <n v="1"/>
    <n v="4"/>
  </r>
  <r>
    <n v="3270"/>
    <s v="Eunice Lima"/>
    <x v="0"/>
    <d v="2024-04-05T00:00:00"/>
    <x v="0"/>
    <n v="15"/>
    <x v="0"/>
    <s v="Yes"/>
    <x v="0"/>
    <s v="Yes"/>
    <x v="0"/>
    <n v="15"/>
    <n v="50"/>
  </r>
  <r>
    <n v="3271"/>
    <s v="Fábio Martins"/>
    <x v="2"/>
    <d v="2024-04-06T00:00:00"/>
    <x v="1"/>
    <n v="10"/>
    <x v="0"/>
    <s v="No"/>
    <x v="1"/>
    <s v="Yes"/>
    <x v="0"/>
    <n v="5"/>
    <n v="25"/>
  </r>
  <r>
    <n v="3272"/>
    <s v="Gisele Araújo"/>
    <x v="1"/>
    <d v="2024-04-07T00:00:00"/>
    <x v="0"/>
    <n v="5"/>
    <x v="1"/>
    <s v="No"/>
    <x v="1"/>
    <s v="No"/>
    <x v="1"/>
    <n v="0"/>
    <n v="5"/>
  </r>
  <r>
    <n v="3273"/>
    <s v="Hélio Castro"/>
    <x v="0"/>
    <d v="2024-04-08T00:00:00"/>
    <x v="1"/>
    <n v="15"/>
    <x v="2"/>
    <s v="Yes"/>
    <x v="0"/>
    <s v="Yes"/>
    <x v="0"/>
    <n v="20"/>
    <n v="45"/>
  </r>
  <r>
    <n v="3274"/>
    <s v="Ingrid Menezes"/>
    <x v="2"/>
    <d v="2024-04-09T00:00:00"/>
    <x v="0"/>
    <n v="10"/>
    <x v="2"/>
    <s v="No"/>
    <x v="1"/>
    <s v="Yes"/>
    <x v="0"/>
    <n v="12"/>
    <n v="18"/>
  </r>
  <r>
    <n v="3275"/>
    <s v="Jorge Baptista"/>
    <x v="1"/>
    <d v="2024-04-10T00:00:00"/>
    <x v="1"/>
    <n v="5"/>
    <x v="0"/>
    <s v="No"/>
    <x v="1"/>
    <s v="No"/>
    <x v="1"/>
    <n v="2"/>
    <n v="3"/>
  </r>
  <r>
    <n v="3276"/>
    <s v="Kléber Oliveira"/>
    <x v="0"/>
    <d v="2024-04-11T00:00:00"/>
    <x v="0"/>
    <n v="15"/>
    <x v="1"/>
    <s v="Yes"/>
    <x v="0"/>
    <s v="Yes"/>
    <x v="0"/>
    <n v="5"/>
    <n v="60"/>
  </r>
  <r>
    <n v="3277"/>
    <s v="Luciana Freitas"/>
    <x v="2"/>
    <d v="2024-04-12T00:00:00"/>
    <x v="1"/>
    <n v="10"/>
    <x v="0"/>
    <s v="No"/>
    <x v="1"/>
    <s v="Yes"/>
    <x v="0"/>
    <n v="10"/>
    <n v="20"/>
  </r>
  <r>
    <n v="3278"/>
    <s v="Márcia Eller"/>
    <x v="1"/>
    <d v="2024-04-13T00:00:00"/>
    <x v="0"/>
    <n v="5"/>
    <x v="2"/>
    <s v="No"/>
    <x v="1"/>
    <s v="No"/>
    <x v="1"/>
    <n v="0"/>
    <n v="5"/>
  </r>
  <r>
    <n v="3279"/>
    <s v="Nilo Peçanha"/>
    <x v="0"/>
    <d v="2024-04-14T00:00:00"/>
    <x v="1"/>
    <n v="15"/>
    <x v="0"/>
    <s v="Yes"/>
    <x v="0"/>
    <s v="Yes"/>
    <x v="0"/>
    <n v="3"/>
    <n v="62"/>
  </r>
  <r>
    <n v="3280"/>
    <s v="Oscar Neves"/>
    <x v="2"/>
    <d v="2024-04-15T00:00:00"/>
    <x v="0"/>
    <n v="10"/>
    <x v="1"/>
    <s v="No"/>
    <x v="1"/>
    <s v="Yes"/>
    <x v="0"/>
    <n v="15"/>
    <n v="15"/>
  </r>
  <r>
    <n v="3281"/>
    <s v="Patrícia Soares"/>
    <x v="1"/>
    <d v="2024-04-16T00:00:00"/>
    <x v="1"/>
    <n v="5"/>
    <x v="0"/>
    <s v="No"/>
    <x v="1"/>
    <s v="No"/>
    <x v="1"/>
    <n v="1"/>
    <n v="4"/>
  </r>
  <r>
    <n v="3282"/>
    <s v="Quirino Gonçalves"/>
    <x v="0"/>
    <d v="2024-04-17T00:00:00"/>
    <x v="0"/>
    <n v="15"/>
    <x v="2"/>
    <s v="Yes"/>
    <x v="0"/>
    <s v="Yes"/>
    <x v="0"/>
    <n v="7"/>
    <n v="58"/>
  </r>
  <r>
    <n v="3283"/>
    <s v="Raul Machado"/>
    <x v="2"/>
    <d v="2024-04-18T00:00:00"/>
    <x v="1"/>
    <n v="10"/>
    <x v="0"/>
    <s v="No"/>
    <x v="1"/>
    <s v="Yes"/>
    <x v="0"/>
    <n v="10"/>
    <n v="20"/>
  </r>
  <r>
    <n v="3284"/>
    <s v="Sônia Lobo"/>
    <x v="1"/>
    <d v="2024-04-19T00:00:00"/>
    <x v="0"/>
    <n v="5"/>
    <x v="1"/>
    <s v="No"/>
    <x v="1"/>
    <s v="No"/>
    <x v="1"/>
    <n v="0"/>
    <n v="5"/>
  </r>
  <r>
    <n v="3285"/>
    <s v="Tiago Ramos"/>
    <x v="0"/>
    <d v="2024-04-20T00:00:00"/>
    <x v="1"/>
    <n v="15"/>
    <x v="0"/>
    <s v="Yes"/>
    <x v="0"/>
    <s v="Yes"/>
    <x v="0"/>
    <n v="20"/>
    <n v="45"/>
  </r>
  <r>
    <n v="3286"/>
    <s v="Ugo Pires"/>
    <x v="2"/>
    <d v="2024-04-21T00:00:00"/>
    <x v="0"/>
    <n v="10"/>
    <x v="2"/>
    <s v="No"/>
    <x v="1"/>
    <s v="Yes"/>
    <x v="0"/>
    <n v="15"/>
    <n v="15"/>
  </r>
  <r>
    <n v="3287"/>
    <s v="Valéria Nobre"/>
    <x v="1"/>
    <d v="2024-04-22T00:00:00"/>
    <x v="1"/>
    <n v="5"/>
    <x v="0"/>
    <s v="No"/>
    <x v="1"/>
    <s v="No"/>
    <x v="1"/>
    <n v="1"/>
    <n v="4"/>
  </r>
  <r>
    <n v="3288"/>
    <s v="William Siqueira"/>
    <x v="0"/>
    <d v="2024-04-23T00:00:00"/>
    <x v="0"/>
    <n v="15"/>
    <x v="1"/>
    <s v="Yes"/>
    <x v="0"/>
    <s v="Yes"/>
    <x v="0"/>
    <n v="3"/>
    <n v="62"/>
  </r>
  <r>
    <n v="3289"/>
    <s v="Xuxa Meneghel"/>
    <x v="2"/>
    <d v="2024-04-24T00:00:00"/>
    <x v="1"/>
    <n v="10"/>
    <x v="0"/>
    <s v="No"/>
    <x v="1"/>
    <s v="Yes"/>
    <x v="0"/>
    <n v="10"/>
    <n v="20"/>
  </r>
  <r>
    <n v="3290"/>
    <s v="Yara Figueiredo"/>
    <x v="1"/>
    <d v="2024-04-25T00:00:00"/>
    <x v="0"/>
    <n v="5"/>
    <x v="2"/>
    <s v="No"/>
    <x v="1"/>
    <s v="No"/>
    <x v="1"/>
    <n v="0"/>
    <n v="5"/>
  </r>
  <r>
    <n v="3291"/>
    <s v="Zacarias Alves"/>
    <x v="0"/>
    <d v="2024-04-26T00:00:00"/>
    <x v="1"/>
    <n v="15"/>
    <x v="0"/>
    <s v="Yes"/>
    <x v="0"/>
    <s v="Yes"/>
    <x v="0"/>
    <n v="5"/>
    <n v="60"/>
  </r>
  <r>
    <n v="3292"/>
    <s v="Amanda Bynes"/>
    <x v="2"/>
    <d v="2024-04-27T00:00:00"/>
    <x v="0"/>
    <n v="10"/>
    <x v="1"/>
    <s v="No"/>
    <x v="1"/>
    <s v="Yes"/>
    <x v="0"/>
    <n v="15"/>
    <n v="15"/>
  </r>
  <r>
    <n v="3293"/>
    <s v="Bruno Mars"/>
    <x v="1"/>
    <d v="2024-04-28T00:00:00"/>
    <x v="1"/>
    <n v="5"/>
    <x v="0"/>
    <s v="No"/>
    <x v="1"/>
    <s v="No"/>
    <x v="1"/>
    <n v="1"/>
    <n v="4"/>
  </r>
  <r>
    <n v="3294"/>
    <s v="Carla Bruni"/>
    <x v="0"/>
    <d v="2024-04-29T00:00:00"/>
    <x v="0"/>
    <n v="15"/>
    <x v="2"/>
    <s v="Yes"/>
    <x v="0"/>
    <s v="Yes"/>
    <x v="0"/>
    <n v="20"/>
    <n v="45"/>
  </r>
  <r>
    <n v="3295"/>
    <s v="Diego Maradona"/>
    <x v="2"/>
    <d v="2024-04-30T00:00:00"/>
    <x v="1"/>
    <n v="10"/>
    <x v="0"/>
    <s v="No"/>
    <x v="1"/>
    <s v="Yes"/>
    <x v="0"/>
    <n v="5"/>
    <n v="25"/>
  </r>
  <r>
    <n v="3296"/>
    <s v="Estela Marques"/>
    <x v="1"/>
    <d v="2024-05-01T00:00:00"/>
    <x v="1"/>
    <n v="5"/>
    <x v="0"/>
    <s v="No"/>
    <x v="1"/>
    <s v="No"/>
    <x v="1"/>
    <n v="0"/>
    <n v="5"/>
  </r>
  <r>
    <n v="3297"/>
    <s v="Fábio Nobre"/>
    <x v="0"/>
    <d v="2024-05-02T00:00:00"/>
    <x v="0"/>
    <n v="15"/>
    <x v="2"/>
    <s v="Yes"/>
    <x v="0"/>
    <s v="Yes"/>
    <x v="0"/>
    <n v="7"/>
    <n v="58"/>
  </r>
  <r>
    <n v="3298"/>
    <s v="Gabriel Oliveira"/>
    <x v="2"/>
    <d v="2024-05-03T00:00:00"/>
    <x v="1"/>
    <n v="10"/>
    <x v="1"/>
    <s v="No"/>
    <x v="1"/>
    <s v="Yes"/>
    <x v="0"/>
    <n v="10"/>
    <n v="20"/>
  </r>
  <r>
    <n v="3299"/>
    <s v="Helena Santos"/>
    <x v="1"/>
    <d v="2024-05-04T00:00:00"/>
    <x v="0"/>
    <n v="5"/>
    <x v="2"/>
    <s v="No"/>
    <x v="1"/>
    <s v="No"/>
    <x v="1"/>
    <n v="1"/>
    <n v="4"/>
  </r>
  <r>
    <n v="3300"/>
    <s v="Ivan Carvalho"/>
    <x v="0"/>
    <d v="2024-05-05T00:00:00"/>
    <x v="1"/>
    <n v="15"/>
    <x v="0"/>
    <s v="Yes"/>
    <x v="0"/>
    <s v="Yes"/>
    <x v="0"/>
    <n v="15"/>
    <n v="50"/>
  </r>
  <r>
    <n v="3301"/>
    <s v="Júlia Ferreira"/>
    <x v="2"/>
    <d v="2024-05-06T00:00:00"/>
    <x v="0"/>
    <n v="10"/>
    <x v="0"/>
    <s v="No"/>
    <x v="1"/>
    <s v="Yes"/>
    <x v="0"/>
    <n v="5"/>
    <n v="25"/>
  </r>
  <r>
    <n v="3302"/>
    <s v="Karla Alves"/>
    <x v="1"/>
    <d v="2024-05-07T00:00:00"/>
    <x v="1"/>
    <n v="5"/>
    <x v="1"/>
    <s v="No"/>
    <x v="1"/>
    <s v="No"/>
    <x v="1"/>
    <n v="0"/>
    <n v="5"/>
  </r>
  <r>
    <n v="3303"/>
    <s v="Lucas Mendes"/>
    <x v="0"/>
    <d v="2024-05-08T00:00:00"/>
    <x v="0"/>
    <n v="15"/>
    <x v="2"/>
    <s v="Yes"/>
    <x v="0"/>
    <s v="Yes"/>
    <x v="0"/>
    <n v="20"/>
    <n v="45"/>
  </r>
  <r>
    <n v="3304"/>
    <s v="Mônica Gomes"/>
    <x v="2"/>
    <d v="2024-05-09T00:00:00"/>
    <x v="1"/>
    <n v="10"/>
    <x v="2"/>
    <s v="No"/>
    <x v="1"/>
    <s v="Yes"/>
    <x v="0"/>
    <n v="12"/>
    <n v="18"/>
  </r>
  <r>
    <n v="3305"/>
    <s v="Norberto Queiroz"/>
    <x v="1"/>
    <d v="2024-05-10T00:00:00"/>
    <x v="0"/>
    <n v="5"/>
    <x v="0"/>
    <s v="No"/>
    <x v="1"/>
    <s v="No"/>
    <x v="1"/>
    <n v="2"/>
    <n v="3"/>
  </r>
  <r>
    <n v="3306"/>
    <s v="Otávio Barros"/>
    <x v="0"/>
    <d v="2024-05-11T00:00:00"/>
    <x v="1"/>
    <n v="15"/>
    <x v="1"/>
    <s v="Yes"/>
    <x v="0"/>
    <s v="Yes"/>
    <x v="0"/>
    <n v="5"/>
    <n v="60"/>
  </r>
  <r>
    <n v="3307"/>
    <s v="Paula Vieira"/>
    <x v="2"/>
    <d v="2024-05-12T00:00:00"/>
    <x v="0"/>
    <n v="10"/>
    <x v="0"/>
    <s v="No"/>
    <x v="1"/>
    <s v="Yes"/>
    <x v="0"/>
    <n v="10"/>
    <n v="20"/>
  </r>
  <r>
    <n v="3308"/>
    <s v="Quentin Ramos"/>
    <x v="1"/>
    <d v="2024-05-13T00:00:00"/>
    <x v="1"/>
    <n v="5"/>
    <x v="2"/>
    <s v="No"/>
    <x v="1"/>
    <s v="No"/>
    <x v="1"/>
    <n v="0"/>
    <n v="5"/>
  </r>
  <r>
    <n v="3309"/>
    <s v="Raquel Novaes"/>
    <x v="0"/>
    <d v="2024-05-14T00:00:00"/>
    <x v="0"/>
    <n v="15"/>
    <x v="0"/>
    <s v="Yes"/>
    <x v="0"/>
    <s v="Yes"/>
    <x v="0"/>
    <n v="3"/>
    <n v="62"/>
  </r>
  <r>
    <n v="3310"/>
    <s v="Samantha Lopes"/>
    <x v="2"/>
    <d v="2024-05-15T00:00:00"/>
    <x v="1"/>
    <n v="10"/>
    <x v="1"/>
    <s v="No"/>
    <x v="1"/>
    <s v="Yes"/>
    <x v="0"/>
    <n v="15"/>
    <n v="15"/>
  </r>
  <r>
    <n v="3311"/>
    <s v="Tiago Martins"/>
    <x v="1"/>
    <d v="2024-05-16T00:00:00"/>
    <x v="0"/>
    <n v="5"/>
    <x v="0"/>
    <s v="No"/>
    <x v="1"/>
    <s v="No"/>
    <x v="1"/>
    <n v="1"/>
    <n v="4"/>
  </r>
  <r>
    <n v="3312"/>
    <s v="Ulysses Guimarães"/>
    <x v="0"/>
    <d v="2024-05-17T00:00:00"/>
    <x v="1"/>
    <n v="15"/>
    <x v="2"/>
    <s v="Yes"/>
    <x v="0"/>
    <s v="Yes"/>
    <x v="0"/>
    <n v="7"/>
    <n v="58"/>
  </r>
  <r>
    <n v="3313"/>
    <s v="Vanessa Silva"/>
    <x v="2"/>
    <d v="2024-05-18T00:00:00"/>
    <x v="0"/>
    <n v="10"/>
    <x v="0"/>
    <s v="No"/>
    <x v="1"/>
    <s v="Yes"/>
    <x v="0"/>
    <n v="10"/>
    <n v="20"/>
  </r>
  <r>
    <n v="3314"/>
    <s v="William Carneiro"/>
    <x v="1"/>
    <d v="2024-05-19T00:00:00"/>
    <x v="1"/>
    <n v="5"/>
    <x v="1"/>
    <s v="No"/>
    <x v="1"/>
    <s v="No"/>
    <x v="1"/>
    <n v="0"/>
    <n v="5"/>
  </r>
  <r>
    <n v="3315"/>
    <s v="Ximena Rocha"/>
    <x v="0"/>
    <d v="2024-05-20T00:00:00"/>
    <x v="0"/>
    <n v="15"/>
    <x v="0"/>
    <s v="Yes"/>
    <x v="0"/>
    <s v="Yes"/>
    <x v="0"/>
    <n v="20"/>
    <n v="45"/>
  </r>
  <r>
    <n v="3316"/>
    <s v="Yasmin Figueiredo"/>
    <x v="2"/>
    <d v="2024-05-21T00:00:00"/>
    <x v="1"/>
    <n v="10"/>
    <x v="2"/>
    <s v="No"/>
    <x v="1"/>
    <s v="Yes"/>
    <x v="0"/>
    <n v="15"/>
    <n v="15"/>
  </r>
  <r>
    <n v="3317"/>
    <s v="Zara Cunha"/>
    <x v="1"/>
    <d v="2024-05-22T00:00:00"/>
    <x v="0"/>
    <n v="5"/>
    <x v="0"/>
    <s v="No"/>
    <x v="1"/>
    <s v="No"/>
    <x v="1"/>
    <n v="1"/>
    <n v="4"/>
  </r>
  <r>
    <n v="3318"/>
    <s v="Alan Teixeira"/>
    <x v="0"/>
    <d v="2024-05-23T00:00:00"/>
    <x v="1"/>
    <n v="15"/>
    <x v="1"/>
    <s v="Yes"/>
    <x v="0"/>
    <s v="Yes"/>
    <x v="0"/>
    <n v="3"/>
    <n v="62"/>
  </r>
  <r>
    <n v="3319"/>
    <s v="Bárbara Oliveira"/>
    <x v="2"/>
    <d v="2024-05-24T00:00:00"/>
    <x v="0"/>
    <n v="10"/>
    <x v="0"/>
    <s v="No"/>
    <x v="1"/>
    <s v="Yes"/>
    <x v="0"/>
    <n v="10"/>
    <n v="20"/>
  </r>
  <r>
    <n v="3320"/>
    <s v="Carlos Junqueira"/>
    <x v="1"/>
    <d v="2024-05-25T00:00:00"/>
    <x v="1"/>
    <n v="5"/>
    <x v="2"/>
    <s v="No"/>
    <x v="1"/>
    <s v="No"/>
    <x v="1"/>
    <n v="0"/>
    <n v="5"/>
  </r>
  <r>
    <n v="3321"/>
    <s v="Daniela Moura"/>
    <x v="0"/>
    <d v="2024-05-26T00:00:00"/>
    <x v="0"/>
    <n v="15"/>
    <x v="0"/>
    <s v="Yes"/>
    <x v="0"/>
    <s v="Yes"/>
    <x v="0"/>
    <n v="5"/>
    <n v="60"/>
  </r>
  <r>
    <n v="3322"/>
    <s v="Eduardo Lima"/>
    <x v="2"/>
    <d v="2024-05-27T00:00:00"/>
    <x v="1"/>
    <n v="10"/>
    <x v="1"/>
    <s v="No"/>
    <x v="1"/>
    <s v="Yes"/>
    <x v="0"/>
    <n v="15"/>
    <n v="15"/>
  </r>
  <r>
    <n v="3323"/>
    <s v="Fabiana Araújo"/>
    <x v="1"/>
    <d v="2024-05-28T00:00:00"/>
    <x v="0"/>
    <n v="5"/>
    <x v="0"/>
    <s v="No"/>
    <x v="1"/>
    <s v="No"/>
    <x v="1"/>
    <n v="1"/>
    <n v="4"/>
  </r>
  <r>
    <n v="3324"/>
    <s v="Geraldo Ribeiro"/>
    <x v="0"/>
    <d v="2024-05-29T00:00:00"/>
    <x v="1"/>
    <n v="15"/>
    <x v="2"/>
    <s v="Yes"/>
    <x v="0"/>
    <s v="Yes"/>
    <x v="0"/>
    <n v="20"/>
    <n v="45"/>
  </r>
  <r>
    <n v="3325"/>
    <s v="Héctor Vargas"/>
    <x v="2"/>
    <d v="2024-05-30T00:00:00"/>
    <x v="0"/>
    <n v="10"/>
    <x v="2"/>
    <s v="No"/>
    <x v="1"/>
    <s v="Yes"/>
    <x v="0"/>
    <n v="15"/>
    <n v="15"/>
  </r>
  <r>
    <n v="3326"/>
    <s v="Isabela Fonseca"/>
    <x v="1"/>
    <d v="2024-05-31T00:00:00"/>
    <x v="1"/>
    <n v="5"/>
    <x v="1"/>
    <s v="No"/>
    <x v="1"/>
    <s v="No"/>
    <x v="1"/>
    <n v="0"/>
    <n v="5"/>
  </r>
  <r>
    <n v="3327"/>
    <s v="João Pedro Almeida"/>
    <x v="0"/>
    <d v="2024-06-01T00:00:00"/>
    <x v="0"/>
    <n v="15"/>
    <x v="0"/>
    <s v="Yes"/>
    <x v="0"/>
    <s v="Yes"/>
    <x v="0"/>
    <n v="7"/>
    <n v="58"/>
  </r>
  <r>
    <n v="3328"/>
    <s v="Klara Costa"/>
    <x v="2"/>
    <d v="2024-06-02T00:00:00"/>
    <x v="1"/>
    <n v="10"/>
    <x v="1"/>
    <s v="No"/>
    <x v="1"/>
    <s v="Yes"/>
    <x v="0"/>
    <n v="10"/>
    <n v="20"/>
  </r>
  <r>
    <n v="3329"/>
    <s v="Luciana Mendes"/>
    <x v="1"/>
    <d v="2024-06-03T00:00:00"/>
    <x v="0"/>
    <n v="5"/>
    <x v="2"/>
    <s v="No"/>
    <x v="1"/>
    <s v="No"/>
    <x v="1"/>
    <n v="1"/>
    <n v="4"/>
  </r>
  <r>
    <n v="3330"/>
    <s v="Marcelo Gouveia"/>
    <x v="0"/>
    <d v="2024-06-04T00:00:00"/>
    <x v="1"/>
    <n v="15"/>
    <x v="0"/>
    <s v="Yes"/>
    <x v="0"/>
    <s v="Yes"/>
    <x v="0"/>
    <n v="15"/>
    <n v="50"/>
  </r>
  <r>
    <n v="3331"/>
    <s v="Nívea Borges"/>
    <x v="2"/>
    <d v="2024-06-05T00:00:00"/>
    <x v="0"/>
    <n v="10"/>
    <x v="0"/>
    <s v="No"/>
    <x v="1"/>
    <s v="Yes"/>
    <x v="0"/>
    <n v="5"/>
    <n v="25"/>
  </r>
  <r>
    <n v="3332"/>
    <s v="Oscar Nogueira"/>
    <x v="1"/>
    <d v="2024-06-06T00:00:00"/>
    <x v="1"/>
    <n v="5"/>
    <x v="1"/>
    <s v="No"/>
    <x v="1"/>
    <s v="No"/>
    <x v="1"/>
    <n v="0"/>
    <n v="5"/>
  </r>
  <r>
    <n v="3333"/>
    <s v="Patrícia Alves"/>
    <x v="0"/>
    <d v="2024-06-07T00:00:00"/>
    <x v="0"/>
    <n v="15"/>
    <x v="2"/>
    <s v="Yes"/>
    <x v="0"/>
    <s v="Yes"/>
    <x v="0"/>
    <n v="20"/>
    <n v="45"/>
  </r>
  <r>
    <n v="3334"/>
    <s v="Rafaela Silva"/>
    <x v="2"/>
    <d v="2024-06-08T00:00:00"/>
    <x v="1"/>
    <n v="10"/>
    <x v="2"/>
    <s v="No"/>
    <x v="1"/>
    <s v="Yes"/>
    <x v="0"/>
    <n v="12"/>
    <n v="18"/>
  </r>
  <r>
    <n v="3335"/>
    <s v="Samantha Moraes"/>
    <x v="1"/>
    <d v="2024-06-09T00:00:00"/>
    <x v="0"/>
    <n v="5"/>
    <x v="0"/>
    <s v="No"/>
    <x v="1"/>
    <s v="No"/>
    <x v="1"/>
    <n v="2"/>
    <n v="3"/>
  </r>
  <r>
    <n v="3336"/>
    <s v="Tatiana Rocha"/>
    <x v="1"/>
    <d v="2024-06-10T00:00:00"/>
    <x v="0"/>
    <n v="5"/>
    <x v="0"/>
    <s v="No"/>
    <x v="1"/>
    <s v="No"/>
    <x v="1"/>
    <n v="0"/>
    <n v="5"/>
  </r>
  <r>
    <n v="3337"/>
    <s v="Ulisses Tavares"/>
    <x v="0"/>
    <d v="2024-06-11T00:00:00"/>
    <x v="1"/>
    <n v="15"/>
    <x v="2"/>
    <s v="Yes"/>
    <x v="0"/>
    <s v="Yes"/>
    <x v="0"/>
    <n v="7"/>
    <n v="58"/>
  </r>
  <r>
    <n v="3338"/>
    <s v="Víctor Lemos"/>
    <x v="2"/>
    <d v="2024-06-12T00:00:00"/>
    <x v="0"/>
    <n v="10"/>
    <x v="1"/>
    <s v="No"/>
    <x v="1"/>
    <s v="Yes"/>
    <x v="0"/>
    <n v="10"/>
    <n v="20"/>
  </r>
  <r>
    <n v="3339"/>
    <s v="Wilma Barros"/>
    <x v="1"/>
    <d v="2024-06-13T00:00:00"/>
    <x v="1"/>
    <n v="5"/>
    <x v="2"/>
    <s v="No"/>
    <x v="1"/>
    <s v="No"/>
    <x v="1"/>
    <n v="1"/>
    <n v="4"/>
  </r>
  <r>
    <n v="3340"/>
    <s v="Xavier Nascimento"/>
    <x v="0"/>
    <d v="2024-06-14T00:00:00"/>
    <x v="0"/>
    <n v="15"/>
    <x v="0"/>
    <s v="Yes"/>
    <x v="0"/>
    <s v="Yes"/>
    <x v="0"/>
    <n v="15"/>
    <n v="50"/>
  </r>
  <r>
    <n v="3341"/>
    <s v="Yago Pereira"/>
    <x v="2"/>
    <d v="2024-06-15T00:00:00"/>
    <x v="1"/>
    <n v="10"/>
    <x v="0"/>
    <s v="No"/>
    <x v="1"/>
    <s v="Yes"/>
    <x v="0"/>
    <n v="5"/>
    <n v="25"/>
  </r>
  <r>
    <n v="3342"/>
    <s v="Zilda Ferreira"/>
    <x v="1"/>
    <d v="2024-06-16T00:00:00"/>
    <x v="0"/>
    <n v="5"/>
    <x v="1"/>
    <s v="No"/>
    <x v="1"/>
    <s v="No"/>
    <x v="1"/>
    <n v="0"/>
    <n v="5"/>
  </r>
  <r>
    <n v="3343"/>
    <s v="Amanda Lopes"/>
    <x v="0"/>
    <d v="2024-06-17T00:00:00"/>
    <x v="1"/>
    <n v="15"/>
    <x v="2"/>
    <s v="Yes"/>
    <x v="0"/>
    <s v="Yes"/>
    <x v="0"/>
    <n v="20"/>
    <n v="45"/>
  </r>
  <r>
    <n v="3344"/>
    <s v="Bruno Miranda"/>
    <x v="2"/>
    <d v="2024-06-18T00:00:00"/>
    <x v="0"/>
    <n v="10"/>
    <x v="2"/>
    <s v="No"/>
    <x v="1"/>
    <s v="Yes"/>
    <x v="0"/>
    <n v="12"/>
    <n v="18"/>
  </r>
  <r>
    <n v="3345"/>
    <s v="Célia Torres"/>
    <x v="1"/>
    <d v="2024-06-19T00:00:00"/>
    <x v="1"/>
    <n v="5"/>
    <x v="0"/>
    <s v="No"/>
    <x v="1"/>
    <s v="No"/>
    <x v="1"/>
    <n v="2"/>
    <n v="3"/>
  </r>
  <r>
    <n v="3346"/>
    <s v="Diogo Souza"/>
    <x v="0"/>
    <d v="2024-06-20T00:00:00"/>
    <x v="0"/>
    <n v="15"/>
    <x v="1"/>
    <s v="Yes"/>
    <x v="0"/>
    <s v="Yes"/>
    <x v="0"/>
    <n v="5"/>
    <n v="60"/>
  </r>
  <r>
    <n v="3347"/>
    <s v="Elisa Castro"/>
    <x v="2"/>
    <d v="2024-06-21T00:00:00"/>
    <x v="1"/>
    <n v="10"/>
    <x v="0"/>
    <s v="No"/>
    <x v="1"/>
    <s v="Yes"/>
    <x v="0"/>
    <n v="10"/>
    <n v="20"/>
  </r>
  <r>
    <n v="3348"/>
    <s v="Fátima Lima"/>
    <x v="1"/>
    <d v="2024-06-22T00:00:00"/>
    <x v="0"/>
    <n v="5"/>
    <x v="2"/>
    <s v="No"/>
    <x v="1"/>
    <s v="No"/>
    <x v="1"/>
    <n v="0"/>
    <n v="5"/>
  </r>
  <r>
    <n v="3349"/>
    <s v="Geraldo Ribeiro"/>
    <x v="0"/>
    <d v="2024-06-23T00:00:00"/>
    <x v="1"/>
    <n v="15"/>
    <x v="0"/>
    <s v="Yes"/>
    <x v="0"/>
    <s v="Yes"/>
    <x v="0"/>
    <n v="3"/>
    <n v="62"/>
  </r>
  <r>
    <n v="3350"/>
    <s v="Hélio Martins"/>
    <x v="2"/>
    <d v="2024-06-24T00:00:00"/>
    <x v="0"/>
    <n v="10"/>
    <x v="1"/>
    <s v="No"/>
    <x v="1"/>
    <s v="Yes"/>
    <x v="0"/>
    <n v="15"/>
    <n v="15"/>
  </r>
  <r>
    <n v="3351"/>
    <s v="Íris Santos"/>
    <x v="1"/>
    <d v="2024-06-25T00:00:00"/>
    <x v="1"/>
    <n v="5"/>
    <x v="0"/>
    <s v="No"/>
    <x v="1"/>
    <s v="No"/>
    <x v="1"/>
    <n v="1"/>
    <n v="4"/>
  </r>
  <r>
    <n v="3352"/>
    <s v="João Marcelo"/>
    <x v="0"/>
    <d v="2024-06-26T00:00:00"/>
    <x v="0"/>
    <n v="15"/>
    <x v="2"/>
    <s v="Yes"/>
    <x v="0"/>
    <s v="Yes"/>
    <x v="0"/>
    <n v="7"/>
    <n v="58"/>
  </r>
  <r>
    <n v="3353"/>
    <s v="Larissa Gomes"/>
    <x v="2"/>
    <d v="2024-06-27T00:00:00"/>
    <x v="1"/>
    <n v="10"/>
    <x v="0"/>
    <s v="No"/>
    <x v="1"/>
    <s v="Yes"/>
    <x v="0"/>
    <n v="10"/>
    <n v="20"/>
  </r>
  <r>
    <n v="3354"/>
    <s v="Márcio Silva"/>
    <x v="1"/>
    <d v="2024-06-28T00:00:00"/>
    <x v="0"/>
    <n v="5"/>
    <x v="1"/>
    <s v="No"/>
    <x v="1"/>
    <s v="No"/>
    <x v="1"/>
    <n v="0"/>
    <n v="5"/>
  </r>
  <r>
    <n v="3355"/>
    <s v="Nadia Costa"/>
    <x v="0"/>
    <d v="2024-06-29T00:00:00"/>
    <x v="1"/>
    <n v="15"/>
    <x v="0"/>
    <s v="Yes"/>
    <x v="0"/>
    <s v="Yes"/>
    <x v="0"/>
    <n v="20"/>
    <n v="45"/>
  </r>
  <r>
    <n v="3356"/>
    <s v="Oscar Almeida"/>
    <x v="2"/>
    <d v="2024-06-30T00:00:00"/>
    <x v="0"/>
    <n v="10"/>
    <x v="2"/>
    <s v="No"/>
    <x v="1"/>
    <s v="Yes"/>
    <x v="0"/>
    <n v="15"/>
    <n v="15"/>
  </r>
  <r>
    <n v="3357"/>
    <s v="Patricia Soares"/>
    <x v="1"/>
    <d v="2024-07-01T00:00:00"/>
    <x v="1"/>
    <n v="5"/>
    <x v="0"/>
    <s v="No"/>
    <x v="1"/>
    <s v="No"/>
    <x v="1"/>
    <n v="1"/>
    <n v="4"/>
  </r>
  <r>
    <n v="3358"/>
    <s v="Quênia Barros"/>
    <x v="0"/>
    <d v="2024-07-02T00:00:00"/>
    <x v="0"/>
    <n v="15"/>
    <x v="1"/>
    <s v="Yes"/>
    <x v="0"/>
    <s v="Yes"/>
    <x v="0"/>
    <n v="3"/>
    <n v="62"/>
  </r>
  <r>
    <n v="3359"/>
    <s v="Rafael Torres"/>
    <x v="2"/>
    <d v="2024-07-03T00:00:00"/>
    <x v="1"/>
    <n v="10"/>
    <x v="0"/>
    <s v="No"/>
    <x v="1"/>
    <s v="Yes"/>
    <x v="0"/>
    <n v="10"/>
    <n v="20"/>
  </r>
  <r>
    <n v="3360"/>
    <s v="Silvia Nascimento"/>
    <x v="1"/>
    <d v="2024-07-04T00:00:00"/>
    <x v="0"/>
    <n v="5"/>
    <x v="2"/>
    <s v="No"/>
    <x v="1"/>
    <s v="No"/>
    <x v="1"/>
    <n v="0"/>
    <n v="5"/>
  </r>
  <r>
    <n v="3361"/>
    <s v="Tiago Mendes"/>
    <x v="0"/>
    <d v="2024-07-05T00:00:00"/>
    <x v="1"/>
    <n v="15"/>
    <x v="0"/>
    <s v="Yes"/>
    <x v="0"/>
    <s v="Yes"/>
    <x v="0"/>
    <n v="15"/>
    <n v="50"/>
  </r>
  <r>
    <n v="3362"/>
    <s v="Ursula Silva"/>
    <x v="2"/>
    <d v="2024-07-06T00:00:00"/>
    <x v="0"/>
    <n v="10"/>
    <x v="1"/>
    <s v="No"/>
    <x v="1"/>
    <s v="Yes"/>
    <x v="0"/>
    <n v="15"/>
    <n v="15"/>
  </r>
  <r>
    <n v="3363"/>
    <s v="Vanessa Moraes"/>
    <x v="1"/>
    <d v="2024-07-07T00:00:00"/>
    <x v="1"/>
    <n v="5"/>
    <x v="0"/>
    <s v="No"/>
    <x v="1"/>
    <s v="No"/>
    <x v="1"/>
    <n v="1"/>
    <n v="4"/>
  </r>
  <r>
    <n v="3364"/>
    <s v="Waldir Junior"/>
    <x v="0"/>
    <d v="2024-07-08T00:00:00"/>
    <x v="0"/>
    <n v="15"/>
    <x v="2"/>
    <s v="Yes"/>
    <x v="0"/>
    <s v="Yes"/>
    <x v="0"/>
    <n v="7"/>
    <n v="58"/>
  </r>
  <r>
    <n v="3365"/>
    <s v="Xavier Lopes"/>
    <x v="2"/>
    <d v="2024-07-09T00:00:00"/>
    <x v="1"/>
    <n v="10"/>
    <x v="0"/>
    <s v="No"/>
    <x v="1"/>
    <s v="Yes"/>
    <x v="0"/>
    <n v="10"/>
    <n v="20"/>
  </r>
  <r>
    <n v="3366"/>
    <s v="Yolanda Freitas"/>
    <x v="1"/>
    <d v="2024-07-10T00:00:00"/>
    <x v="0"/>
    <n v="5"/>
    <x v="0"/>
    <s v="No"/>
    <x v="1"/>
    <s v="No"/>
    <x v="1"/>
    <n v="0"/>
    <n v="5"/>
  </r>
  <r>
    <n v="3367"/>
    <s v="Zacarias Nunes"/>
    <x v="0"/>
    <d v="2024-07-11T00:00:00"/>
    <x v="1"/>
    <n v="15"/>
    <x v="2"/>
    <s v="Yes"/>
    <x v="0"/>
    <s v="Yes"/>
    <x v="0"/>
    <n v="7"/>
    <n v="58"/>
  </r>
  <r>
    <n v="3368"/>
    <s v="Ana Clara Barreto"/>
    <x v="2"/>
    <d v="2024-07-12T00:00:00"/>
    <x v="0"/>
    <n v="10"/>
    <x v="1"/>
    <s v="No"/>
    <x v="1"/>
    <s v="Yes"/>
    <x v="0"/>
    <n v="10"/>
    <n v="20"/>
  </r>
  <r>
    <n v="3369"/>
    <s v="Bruno Henrique"/>
    <x v="1"/>
    <d v="2024-07-13T00:00:00"/>
    <x v="1"/>
    <n v="5"/>
    <x v="2"/>
    <s v="No"/>
    <x v="1"/>
    <s v="No"/>
    <x v="1"/>
    <n v="1"/>
    <n v="4"/>
  </r>
  <r>
    <n v="3370"/>
    <s v="Carlos Eduardo"/>
    <x v="0"/>
    <d v="2024-07-14T00:00:00"/>
    <x v="0"/>
    <n v="15"/>
    <x v="0"/>
    <s v="Yes"/>
    <x v="0"/>
    <s v="Yes"/>
    <x v="0"/>
    <n v="15"/>
    <n v="50"/>
  </r>
  <r>
    <n v="3371"/>
    <s v="Débora Lima"/>
    <x v="2"/>
    <d v="2024-07-15T00:00:00"/>
    <x v="1"/>
    <n v="10"/>
    <x v="0"/>
    <s v="No"/>
    <x v="1"/>
    <s v="Yes"/>
    <x v="0"/>
    <n v="5"/>
    <n v="25"/>
  </r>
  <r>
    <n v="3372"/>
    <s v="Elisa Neves"/>
    <x v="1"/>
    <d v="2024-07-16T00:00:00"/>
    <x v="0"/>
    <n v="5"/>
    <x v="1"/>
    <s v="No"/>
    <x v="1"/>
    <s v="No"/>
    <x v="1"/>
    <n v="0"/>
    <n v="5"/>
  </r>
  <r>
    <n v="3373"/>
    <s v="Fabiano Gomes"/>
    <x v="0"/>
    <d v="2024-07-17T00:00:00"/>
    <x v="1"/>
    <n v="15"/>
    <x v="2"/>
    <s v="Yes"/>
    <x v="0"/>
    <s v="Yes"/>
    <x v="0"/>
    <n v="20"/>
    <n v="45"/>
  </r>
  <r>
    <n v="3374"/>
    <s v="Gisele Oliveira"/>
    <x v="2"/>
    <d v="2024-07-18T00:00:00"/>
    <x v="0"/>
    <n v="10"/>
    <x v="2"/>
    <s v="No"/>
    <x v="1"/>
    <s v="Yes"/>
    <x v="0"/>
    <n v="12"/>
    <n v="18"/>
  </r>
  <r>
    <n v="3375"/>
    <s v="Héctor Silva"/>
    <x v="1"/>
    <d v="2024-07-19T00:00:00"/>
    <x v="1"/>
    <n v="5"/>
    <x v="0"/>
    <s v="No"/>
    <x v="1"/>
    <s v="No"/>
    <x v="1"/>
    <n v="2"/>
    <n v="3"/>
  </r>
  <r>
    <n v="3376"/>
    <s v="Igor Martins"/>
    <x v="0"/>
    <d v="2024-07-20T00:00:00"/>
    <x v="0"/>
    <n v="15"/>
    <x v="1"/>
    <s v="Yes"/>
    <x v="0"/>
    <s v="Yes"/>
    <x v="0"/>
    <n v="5"/>
    <n v="60"/>
  </r>
  <r>
    <n v="3377"/>
    <s v="Joana Figueiredo"/>
    <x v="2"/>
    <d v="2024-07-21T00:00:00"/>
    <x v="1"/>
    <n v="10"/>
    <x v="0"/>
    <s v="No"/>
    <x v="1"/>
    <s v="Yes"/>
    <x v="0"/>
    <n v="10"/>
    <n v="20"/>
  </r>
  <r>
    <n v="3378"/>
    <s v="Kleber Machado"/>
    <x v="1"/>
    <d v="2024-07-22T00:00:00"/>
    <x v="0"/>
    <n v="5"/>
    <x v="2"/>
    <s v="No"/>
    <x v="1"/>
    <s v="No"/>
    <x v="1"/>
    <n v="0"/>
    <n v="5"/>
  </r>
  <r>
    <n v="3379"/>
    <s v="Luciana Santos"/>
    <x v="0"/>
    <d v="2024-07-23T00:00:00"/>
    <x v="1"/>
    <n v="15"/>
    <x v="0"/>
    <s v="Yes"/>
    <x v="0"/>
    <s v="Yes"/>
    <x v="0"/>
    <n v="3"/>
    <n v="62"/>
  </r>
  <r>
    <n v="3380"/>
    <s v="Marcos Teixeira"/>
    <x v="2"/>
    <d v="2024-07-24T00:00:00"/>
    <x v="0"/>
    <n v="10"/>
    <x v="1"/>
    <s v="No"/>
    <x v="1"/>
    <s v="Yes"/>
    <x v="0"/>
    <n v="15"/>
    <n v="15"/>
  </r>
  <r>
    <n v="3381"/>
    <s v="Natalia Costa"/>
    <x v="1"/>
    <d v="2024-07-25T00:00:00"/>
    <x v="1"/>
    <n v="5"/>
    <x v="0"/>
    <s v="No"/>
    <x v="1"/>
    <s v="No"/>
    <x v="1"/>
    <n v="1"/>
    <n v="4"/>
  </r>
  <r>
    <n v="3382"/>
    <s v="Oscar Ribeiro"/>
    <x v="0"/>
    <d v="2024-07-26T00:00:00"/>
    <x v="0"/>
    <n v="15"/>
    <x v="2"/>
    <s v="Yes"/>
    <x v="0"/>
    <s v="Yes"/>
    <x v="0"/>
    <n v="7"/>
    <n v="58"/>
  </r>
  <r>
    <n v="3383"/>
    <s v="Patricia Almeida"/>
    <x v="2"/>
    <d v="2024-07-27T00:00:00"/>
    <x v="1"/>
    <n v="10"/>
    <x v="0"/>
    <s v="No"/>
    <x v="1"/>
    <s v="Yes"/>
    <x v="0"/>
    <n v="10"/>
    <n v="20"/>
  </r>
  <r>
    <n v="3384"/>
    <s v="Quirino Junior"/>
    <x v="1"/>
    <d v="2024-07-28T00:00:00"/>
    <x v="0"/>
    <n v="5"/>
    <x v="1"/>
    <s v="No"/>
    <x v="1"/>
    <s v="No"/>
    <x v="1"/>
    <n v="0"/>
    <n v="5"/>
  </r>
  <r>
    <n v="3385"/>
    <s v="Renata Machado"/>
    <x v="0"/>
    <d v="2024-07-29T00:00:00"/>
    <x v="1"/>
    <n v="15"/>
    <x v="0"/>
    <s v="Yes"/>
    <x v="0"/>
    <s v="Yes"/>
    <x v="0"/>
    <n v="20"/>
    <n v="45"/>
  </r>
  <r>
    <n v="3386"/>
    <s v="Sônia Alves"/>
    <x v="2"/>
    <d v="2024-07-30T00:00:00"/>
    <x v="0"/>
    <n v="10"/>
    <x v="2"/>
    <s v="No"/>
    <x v="1"/>
    <s v="Yes"/>
    <x v="0"/>
    <n v="15"/>
    <n v="15"/>
  </r>
  <r>
    <n v="3387"/>
    <s v="Tiago Nunes"/>
    <x v="1"/>
    <d v="2024-07-31T00:00:00"/>
    <x v="1"/>
    <n v="5"/>
    <x v="0"/>
    <s v="No"/>
    <x v="1"/>
    <s v="No"/>
    <x v="1"/>
    <n v="1"/>
    <n v="4"/>
  </r>
  <r>
    <n v="3388"/>
    <s v="Ulysses Pereira"/>
    <x v="0"/>
    <d v="2024-08-01T00:00:00"/>
    <x v="0"/>
    <n v="15"/>
    <x v="1"/>
    <s v="Yes"/>
    <x v="0"/>
    <s v="Yes"/>
    <x v="0"/>
    <n v="3"/>
    <n v="62"/>
  </r>
  <r>
    <n v="3389"/>
    <s v="Vanessa Lima"/>
    <x v="2"/>
    <d v="2024-08-02T00:00:00"/>
    <x v="1"/>
    <n v="10"/>
    <x v="0"/>
    <s v="No"/>
    <x v="1"/>
    <s v="Yes"/>
    <x v="0"/>
    <n v="10"/>
    <n v="20"/>
  </r>
  <r>
    <n v="3390"/>
    <s v="Wagner Santos"/>
    <x v="1"/>
    <d v="2024-08-03T00:00:00"/>
    <x v="0"/>
    <n v="5"/>
    <x v="2"/>
    <s v="No"/>
    <x v="1"/>
    <s v="No"/>
    <x v="1"/>
    <n v="0"/>
    <n v="5"/>
  </r>
  <r>
    <n v="3391"/>
    <s v="Xuxa Meneghel"/>
    <x v="0"/>
    <d v="2024-08-04T00:00:00"/>
    <x v="1"/>
    <n v="15"/>
    <x v="0"/>
    <s v="Yes"/>
    <x v="0"/>
    <s v="Yes"/>
    <x v="0"/>
    <n v="15"/>
    <n v="50"/>
  </r>
  <r>
    <n v="3392"/>
    <s v="Yasmin Silva"/>
    <x v="2"/>
    <d v="2024-08-05T00:00:00"/>
    <x v="0"/>
    <n v="10"/>
    <x v="1"/>
    <s v="No"/>
    <x v="1"/>
    <s v="Yes"/>
    <x v="0"/>
    <n v="15"/>
    <n v="15"/>
  </r>
  <r>
    <n v="3393"/>
    <s v="Zacarias de Souza"/>
    <x v="1"/>
    <d v="2024-08-06T00:00:00"/>
    <x v="1"/>
    <n v="5"/>
    <x v="0"/>
    <s v="No"/>
    <x v="1"/>
    <s v="No"/>
    <x v="1"/>
    <n v="1"/>
    <n v="4"/>
  </r>
  <r>
    <n v="3394"/>
    <s v="André Lima"/>
    <x v="0"/>
    <d v="2024-08-07T00:00:00"/>
    <x v="0"/>
    <n v="15"/>
    <x v="2"/>
    <s v="Yes"/>
    <x v="0"/>
    <s v="Yes"/>
    <x v="0"/>
    <n v="7"/>
    <n v="58"/>
  </r>
  <r>
    <n v="3395"/>
    <s v="Bianca Freitas"/>
    <x v="2"/>
    <d v="2024-08-08T00:00:00"/>
    <x v="1"/>
    <n v="10"/>
    <x v="0"/>
    <s v="No"/>
    <x v="1"/>
    <s v="Yes"/>
    <x v="0"/>
    <n v="10"/>
    <n v="20"/>
  </r>
  <r>
    <n v="3396"/>
    <s v="Caio Mendes"/>
    <x v="1"/>
    <d v="2024-08-09T00:00:00"/>
    <x v="0"/>
    <n v="5"/>
    <x v="1"/>
    <s v="No"/>
    <x v="1"/>
    <s v="No"/>
    <x v="1"/>
    <n v="0"/>
    <n v="5"/>
  </r>
  <r>
    <n v="3397"/>
    <s v="Daniela Moura"/>
    <x v="0"/>
    <d v="2024-08-10T00:00:00"/>
    <x v="1"/>
    <n v="15"/>
    <x v="0"/>
    <s v="Yes"/>
    <x v="0"/>
    <s v="Yes"/>
    <x v="0"/>
    <n v="20"/>
    <n v="45"/>
  </r>
  <r>
    <n v="3398"/>
    <s v="Eduardo Costa"/>
    <x v="2"/>
    <d v="2024-08-11T00:00:00"/>
    <x v="0"/>
    <n v="10"/>
    <x v="2"/>
    <s v="No"/>
    <x v="1"/>
    <s v="Yes"/>
    <x v="0"/>
    <n v="15"/>
    <n v="15"/>
  </r>
  <r>
    <n v="3399"/>
    <s v="Fernanda Gomes"/>
    <x v="1"/>
    <d v="2024-08-12T00:00:00"/>
    <x v="1"/>
    <n v="5"/>
    <x v="0"/>
    <s v="No"/>
    <x v="1"/>
    <s v="No"/>
    <x v="1"/>
    <n v="1"/>
    <n v="4"/>
  </r>
  <r>
    <n v="3400"/>
    <s v="Guilherme Souza"/>
    <x v="0"/>
    <d v="2024-08-13T00:00:00"/>
    <x v="0"/>
    <n v="15"/>
    <x v="1"/>
    <s v="Yes"/>
    <x v="0"/>
    <s v="Yes"/>
    <x v="0"/>
    <n v="5"/>
    <n v="60"/>
  </r>
  <r>
    <n v="3401"/>
    <s v="Helena Ribeiro"/>
    <x v="2"/>
    <d v="2024-08-14T00:00:00"/>
    <x v="1"/>
    <n v="10"/>
    <x v="0"/>
    <s v="No"/>
    <x v="1"/>
    <s v="Yes"/>
    <x v="0"/>
    <n v="10"/>
    <n v="20"/>
  </r>
  <r>
    <n v="3402"/>
    <s v="Igor Santos"/>
    <x v="1"/>
    <d v="2024-08-15T00:00:00"/>
    <x v="0"/>
    <n v="5"/>
    <x v="2"/>
    <s v="No"/>
    <x v="1"/>
    <s v="No"/>
    <x v="1"/>
    <n v="0"/>
    <n v="5"/>
  </r>
  <r>
    <n v="3403"/>
    <s v="João Carvalho"/>
    <x v="0"/>
    <d v="2024-08-16T00:00:00"/>
    <x v="1"/>
    <n v="15"/>
    <x v="0"/>
    <s v="Yes"/>
    <x v="0"/>
    <s v="Yes"/>
    <x v="0"/>
    <n v="3"/>
    <n v="62"/>
  </r>
  <r>
    <n v="3404"/>
    <s v="Klara Fagundes"/>
    <x v="2"/>
    <d v="2024-08-17T00:00:00"/>
    <x v="0"/>
    <n v="10"/>
    <x v="1"/>
    <s v="No"/>
    <x v="1"/>
    <s v="Yes"/>
    <x v="0"/>
    <n v="15"/>
    <n v="15"/>
  </r>
  <r>
    <n v="3405"/>
    <s v="Lúcia Mendonça"/>
    <x v="1"/>
    <d v="2024-08-18T00:00:00"/>
    <x v="1"/>
    <n v="5"/>
    <x v="0"/>
    <s v="No"/>
    <x v="1"/>
    <s v="No"/>
    <x v="1"/>
    <n v="1"/>
    <n v="4"/>
  </r>
  <r>
    <n v="3406"/>
    <s v="Marcelo Novaes"/>
    <x v="1"/>
    <d v="2024-08-19T00:00:00"/>
    <x v="0"/>
    <n v="5"/>
    <x v="0"/>
    <s v="No"/>
    <x v="1"/>
    <s v="No"/>
    <x v="1"/>
    <n v="0"/>
    <n v="5"/>
  </r>
  <r>
    <n v="3407"/>
    <s v="Nina Pacheco"/>
    <x v="0"/>
    <d v="2024-08-20T00:00:00"/>
    <x v="1"/>
    <n v="15"/>
    <x v="2"/>
    <s v="Yes"/>
    <x v="0"/>
    <s v="Yes"/>
    <x v="0"/>
    <n v="7"/>
    <n v="58"/>
  </r>
  <r>
    <n v="3408"/>
    <s v="Olívia Rios"/>
    <x v="2"/>
    <d v="2024-08-21T00:00:00"/>
    <x v="0"/>
    <n v="10"/>
    <x v="1"/>
    <s v="No"/>
    <x v="1"/>
    <s v="Yes"/>
    <x v="0"/>
    <n v="10"/>
    <n v="20"/>
  </r>
  <r>
    <n v="3409"/>
    <s v="Paulo Quintana"/>
    <x v="1"/>
    <d v="2024-08-22T00:00:00"/>
    <x v="1"/>
    <n v="5"/>
    <x v="2"/>
    <s v="No"/>
    <x v="1"/>
    <s v="No"/>
    <x v="1"/>
    <n v="1"/>
    <n v="4"/>
  </r>
  <r>
    <n v="3410"/>
    <s v="Raquel Domingos"/>
    <x v="0"/>
    <d v="2024-08-23T00:00:00"/>
    <x v="0"/>
    <n v="15"/>
    <x v="0"/>
    <s v="Yes"/>
    <x v="0"/>
    <s v="Yes"/>
    <x v="0"/>
    <n v="15"/>
    <n v="50"/>
  </r>
  <r>
    <n v="3411"/>
    <s v="Samuel Viana"/>
    <x v="2"/>
    <d v="2024-08-24T00:00:00"/>
    <x v="1"/>
    <n v="10"/>
    <x v="0"/>
    <s v="No"/>
    <x v="1"/>
    <s v="Yes"/>
    <x v="0"/>
    <n v="5"/>
    <n v="25"/>
  </r>
  <r>
    <n v="3412"/>
    <s v="Tatiane Rocha"/>
    <x v="1"/>
    <d v="2024-08-25T00:00:00"/>
    <x v="0"/>
    <n v="5"/>
    <x v="1"/>
    <s v="No"/>
    <x v="1"/>
    <s v="No"/>
    <x v="1"/>
    <n v="0"/>
    <n v="5"/>
  </r>
  <r>
    <n v="3413"/>
    <s v="Ulysses Farias"/>
    <x v="0"/>
    <d v="2024-08-26T00:00:00"/>
    <x v="1"/>
    <n v="15"/>
    <x v="2"/>
    <s v="Yes"/>
    <x v="0"/>
    <s v="Yes"/>
    <x v="0"/>
    <n v="20"/>
    <n v="45"/>
  </r>
  <r>
    <n v="3414"/>
    <s v="Vanessa Moreira"/>
    <x v="2"/>
    <d v="2024-08-27T00:00:00"/>
    <x v="0"/>
    <n v="10"/>
    <x v="2"/>
    <s v="No"/>
    <x v="1"/>
    <s v="Yes"/>
    <x v="0"/>
    <n v="12"/>
    <n v="18"/>
  </r>
  <r>
    <n v="3415"/>
    <s v="William Carvalho"/>
    <x v="1"/>
    <d v="2024-08-28T00:00:00"/>
    <x v="1"/>
    <n v="5"/>
    <x v="0"/>
    <s v="No"/>
    <x v="1"/>
    <s v="No"/>
    <x v="1"/>
    <n v="2"/>
    <n v="3"/>
  </r>
  <r>
    <n v="3416"/>
    <s v="Ximena Barros"/>
    <x v="0"/>
    <d v="2024-08-29T00:00:00"/>
    <x v="0"/>
    <n v="15"/>
    <x v="1"/>
    <s v="Yes"/>
    <x v="0"/>
    <s v="Yes"/>
    <x v="0"/>
    <n v="5"/>
    <n v="60"/>
  </r>
  <r>
    <n v="3417"/>
    <s v="Yara Machado"/>
    <x v="2"/>
    <d v="2024-08-30T00:00:00"/>
    <x v="1"/>
    <n v="10"/>
    <x v="0"/>
    <s v="No"/>
    <x v="1"/>
    <s v="Yes"/>
    <x v="0"/>
    <n v="10"/>
    <n v="20"/>
  </r>
  <r>
    <n v="3418"/>
    <s v="Zacarias Costa"/>
    <x v="1"/>
    <d v="2024-08-31T00:00:00"/>
    <x v="0"/>
    <n v="5"/>
    <x v="2"/>
    <s v="No"/>
    <x v="1"/>
    <s v="No"/>
    <x v="1"/>
    <n v="0"/>
    <n v="5"/>
  </r>
  <r>
    <n v="3419"/>
    <s v="André Lopes"/>
    <x v="0"/>
    <d v="2024-09-01T00:00:00"/>
    <x v="1"/>
    <n v="15"/>
    <x v="0"/>
    <s v="Yes"/>
    <x v="0"/>
    <s v="Yes"/>
    <x v="0"/>
    <n v="3"/>
    <n v="62"/>
  </r>
  <r>
    <n v="3420"/>
    <s v="Beatriz Souza"/>
    <x v="2"/>
    <d v="2024-09-02T00:00:00"/>
    <x v="0"/>
    <n v="10"/>
    <x v="1"/>
    <s v="No"/>
    <x v="1"/>
    <s v="Yes"/>
    <x v="0"/>
    <n v="15"/>
    <n v="15"/>
  </r>
  <r>
    <n v="3421"/>
    <s v="Caio Pereira"/>
    <x v="1"/>
    <d v="2024-09-03T00:00:00"/>
    <x v="1"/>
    <n v="5"/>
    <x v="0"/>
    <s v="No"/>
    <x v="1"/>
    <s v="No"/>
    <x v="1"/>
    <n v="1"/>
    <n v="4"/>
  </r>
  <r>
    <n v="3422"/>
    <s v="Daniela Araújo"/>
    <x v="0"/>
    <d v="2024-09-04T00:00:00"/>
    <x v="0"/>
    <n v="15"/>
    <x v="2"/>
    <s v="Yes"/>
    <x v="0"/>
    <s v="Yes"/>
    <x v="0"/>
    <n v="7"/>
    <n v="58"/>
  </r>
  <r>
    <n v="3423"/>
    <s v="Eduardo Santos"/>
    <x v="2"/>
    <d v="2024-09-05T00:00:00"/>
    <x v="1"/>
    <n v="10"/>
    <x v="0"/>
    <s v="No"/>
    <x v="1"/>
    <s v="Yes"/>
    <x v="0"/>
    <n v="10"/>
    <n v="20"/>
  </r>
  <r>
    <n v="3424"/>
    <s v="Fernanda Lima"/>
    <x v="1"/>
    <d v="2024-09-06T00:00:00"/>
    <x v="0"/>
    <n v="5"/>
    <x v="1"/>
    <s v="No"/>
    <x v="1"/>
    <s v="No"/>
    <x v="1"/>
    <n v="0"/>
    <n v="5"/>
  </r>
  <r>
    <n v="3425"/>
    <s v="Gabriel Teixeira"/>
    <x v="0"/>
    <d v="2024-09-07T00:00:00"/>
    <x v="1"/>
    <n v="15"/>
    <x v="0"/>
    <s v="Yes"/>
    <x v="0"/>
    <s v="Yes"/>
    <x v="0"/>
    <n v="20"/>
    <n v="45"/>
  </r>
  <r>
    <n v="3426"/>
    <s v="Helena Ribeiro"/>
    <x v="2"/>
    <d v="2024-09-08T00:00:00"/>
    <x v="0"/>
    <n v="10"/>
    <x v="2"/>
    <s v="No"/>
    <x v="1"/>
    <s v="Yes"/>
    <x v="0"/>
    <n v="15"/>
    <n v="15"/>
  </r>
  <r>
    <n v="3427"/>
    <s v="Igor Mendes"/>
    <x v="1"/>
    <d v="2024-09-09T00:00:00"/>
    <x v="1"/>
    <n v="5"/>
    <x v="0"/>
    <s v="No"/>
    <x v="1"/>
    <s v="No"/>
    <x v="1"/>
    <n v="1"/>
    <n v="4"/>
  </r>
  <r>
    <n v="3428"/>
    <s v="Joana Silveira"/>
    <x v="0"/>
    <d v="2024-09-10T00:00:00"/>
    <x v="0"/>
    <n v="15"/>
    <x v="1"/>
    <s v="Yes"/>
    <x v="0"/>
    <s v="Yes"/>
    <x v="0"/>
    <n v="3"/>
    <n v="62"/>
  </r>
  <r>
    <n v="3429"/>
    <s v="Lucas Martins"/>
    <x v="2"/>
    <d v="2024-09-11T00:00:00"/>
    <x v="1"/>
    <n v="10"/>
    <x v="0"/>
    <s v="No"/>
    <x v="1"/>
    <s v="Yes"/>
    <x v="0"/>
    <n v="10"/>
    <n v="20"/>
  </r>
  <r>
    <n v="3430"/>
    <s v="Marcela Gouveia"/>
    <x v="1"/>
    <d v="2024-09-12T00:00:00"/>
    <x v="0"/>
    <n v="5"/>
    <x v="2"/>
    <s v="No"/>
    <x v="1"/>
    <s v="No"/>
    <x v="1"/>
    <n v="0"/>
    <n v="5"/>
  </r>
  <r>
    <n v="3431"/>
    <s v="Nicolas Borges"/>
    <x v="0"/>
    <d v="2024-09-13T00:00:00"/>
    <x v="1"/>
    <n v="15"/>
    <x v="0"/>
    <s v="Yes"/>
    <x v="0"/>
    <s v="Yes"/>
    <x v="0"/>
    <n v="15"/>
    <n v="50"/>
  </r>
  <r>
    <n v="3432"/>
    <s v="Olivia Freitas"/>
    <x v="2"/>
    <d v="2024-09-14T00:00:00"/>
    <x v="0"/>
    <n v="10"/>
    <x v="1"/>
    <s v="No"/>
    <x v="1"/>
    <s v="Yes"/>
    <x v="0"/>
    <n v="15"/>
    <n v="15"/>
  </r>
  <r>
    <n v="3433"/>
    <s v="Paulo Nogueira"/>
    <x v="1"/>
    <d v="2024-09-15T00:00:00"/>
    <x v="1"/>
    <n v="5"/>
    <x v="0"/>
    <s v="No"/>
    <x v="1"/>
    <s v="No"/>
    <x v="1"/>
    <n v="1"/>
    <n v="4"/>
  </r>
  <r>
    <n v="3434"/>
    <s v="Raquel Andrade"/>
    <x v="0"/>
    <d v="2024-09-16T00:00:00"/>
    <x v="0"/>
    <n v="15"/>
    <x v="2"/>
    <s v="Yes"/>
    <x v="0"/>
    <s v="Yes"/>
    <x v="0"/>
    <n v="7"/>
    <n v="58"/>
  </r>
  <r>
    <n v="3435"/>
    <s v="Sônia Carvalho"/>
    <x v="2"/>
    <d v="2024-09-17T00:00:00"/>
    <x v="1"/>
    <n v="10"/>
    <x v="0"/>
    <s v="No"/>
    <x v="1"/>
    <s v="Yes"/>
    <x v="0"/>
    <n v="10"/>
    <n v="20"/>
  </r>
  <r>
    <n v="3436"/>
    <s v="Tiago Rodrigues"/>
    <x v="1"/>
    <d v="2024-09-18T00:00:00"/>
    <x v="0"/>
    <n v="5"/>
    <x v="0"/>
    <s v="No"/>
    <x v="1"/>
    <s v="No"/>
    <x v="1"/>
    <n v="0"/>
    <n v="5"/>
  </r>
  <r>
    <n v="3437"/>
    <s v="Ursula Monteiro"/>
    <x v="0"/>
    <d v="2024-09-19T00:00:00"/>
    <x v="1"/>
    <n v="15"/>
    <x v="2"/>
    <s v="Yes"/>
    <x v="0"/>
    <s v="Yes"/>
    <x v="0"/>
    <n v="7"/>
    <n v="58"/>
  </r>
  <r>
    <n v="3438"/>
    <s v="Vanessa Pereira"/>
    <x v="2"/>
    <d v="2024-09-20T00:00:00"/>
    <x v="0"/>
    <n v="10"/>
    <x v="1"/>
    <s v="No"/>
    <x v="1"/>
    <s v="Yes"/>
    <x v="0"/>
    <n v="10"/>
    <n v="20"/>
  </r>
  <r>
    <n v="3439"/>
    <s v="Walter Silva"/>
    <x v="1"/>
    <d v="2024-09-21T00:00:00"/>
    <x v="1"/>
    <n v="5"/>
    <x v="2"/>
    <s v="No"/>
    <x v="1"/>
    <s v="No"/>
    <x v="1"/>
    <n v="1"/>
    <n v="4"/>
  </r>
  <r>
    <n v="3440"/>
    <s v="Xavier Almeida"/>
    <x v="0"/>
    <d v="2024-09-22T00:00:00"/>
    <x v="0"/>
    <n v="15"/>
    <x v="0"/>
    <s v="Yes"/>
    <x v="0"/>
    <s v="Yes"/>
    <x v="0"/>
    <n v="15"/>
    <n v="50"/>
  </r>
  <r>
    <n v="3441"/>
    <s v="Yasmine Correia"/>
    <x v="2"/>
    <d v="2024-09-23T00:00:00"/>
    <x v="1"/>
    <n v="10"/>
    <x v="0"/>
    <s v="No"/>
    <x v="1"/>
    <s v="Yes"/>
    <x v="0"/>
    <n v="5"/>
    <n v="25"/>
  </r>
  <r>
    <n v="3442"/>
    <s v="Zacarias Almeida"/>
    <x v="1"/>
    <d v="2024-09-24T00:00:00"/>
    <x v="0"/>
    <n v="5"/>
    <x v="1"/>
    <s v="No"/>
    <x v="1"/>
    <s v="No"/>
    <x v="1"/>
    <n v="0"/>
    <n v="5"/>
  </r>
  <r>
    <n v="3443"/>
    <s v="Amanda Costa"/>
    <x v="0"/>
    <d v="2024-09-25T00:00:00"/>
    <x v="1"/>
    <n v="15"/>
    <x v="2"/>
    <s v="Yes"/>
    <x v="0"/>
    <s v="Yes"/>
    <x v="0"/>
    <n v="20"/>
    <n v="45"/>
  </r>
  <r>
    <n v="3444"/>
    <s v="Bruno Ferreira"/>
    <x v="2"/>
    <d v="2024-09-26T00:00:00"/>
    <x v="0"/>
    <n v="10"/>
    <x v="2"/>
    <s v="No"/>
    <x v="1"/>
    <s v="Yes"/>
    <x v="0"/>
    <n v="12"/>
    <n v="18"/>
  </r>
  <r>
    <n v="3445"/>
    <s v="Carla Dias"/>
    <x v="1"/>
    <d v="2024-09-27T00:00:00"/>
    <x v="1"/>
    <n v="5"/>
    <x v="0"/>
    <s v="No"/>
    <x v="1"/>
    <s v="No"/>
    <x v="1"/>
    <n v="2"/>
    <n v="3"/>
  </r>
  <r>
    <n v="3446"/>
    <s v="Diogo Martins"/>
    <x v="0"/>
    <d v="2024-09-28T00:00:00"/>
    <x v="0"/>
    <n v="15"/>
    <x v="1"/>
    <s v="Yes"/>
    <x v="0"/>
    <s v="Yes"/>
    <x v="0"/>
    <n v="5"/>
    <n v="60"/>
  </r>
  <r>
    <n v="3447"/>
    <s v="Elisa Campos"/>
    <x v="2"/>
    <d v="2024-09-29T00:00:00"/>
    <x v="1"/>
    <n v="10"/>
    <x v="0"/>
    <s v="No"/>
    <x v="1"/>
    <s v="Yes"/>
    <x v="0"/>
    <n v="10"/>
    <n v="20"/>
  </r>
  <r>
    <n v="3448"/>
    <s v="Fabiana Lima"/>
    <x v="1"/>
    <d v="2024-09-30T00:00:00"/>
    <x v="0"/>
    <n v="5"/>
    <x v="2"/>
    <s v="No"/>
    <x v="1"/>
    <s v="No"/>
    <x v="1"/>
    <n v="0"/>
    <n v="5"/>
  </r>
  <r>
    <n v="3449"/>
    <s v="Gabriel Santos"/>
    <x v="0"/>
    <d v="2024-10-01T00:00:00"/>
    <x v="1"/>
    <n v="15"/>
    <x v="0"/>
    <s v="Yes"/>
    <x v="0"/>
    <s v="Yes"/>
    <x v="0"/>
    <n v="3"/>
    <n v="62"/>
  </r>
  <r>
    <n v="3450"/>
    <s v="Helena Ferreira"/>
    <x v="2"/>
    <d v="2024-10-02T00:00:00"/>
    <x v="0"/>
    <n v="10"/>
    <x v="1"/>
    <s v="No"/>
    <x v="1"/>
    <s v="Yes"/>
    <x v="0"/>
    <n v="15"/>
    <n v="15"/>
  </r>
  <r>
    <n v="3451"/>
    <s v="Ígor Nunes"/>
    <x v="1"/>
    <d v="2024-10-03T00:00:00"/>
    <x v="1"/>
    <n v="5"/>
    <x v="0"/>
    <s v="No"/>
    <x v="1"/>
    <s v="No"/>
    <x v="1"/>
    <n v="1"/>
    <n v="4"/>
  </r>
  <r>
    <n v="3452"/>
    <s v="Joana Silveira"/>
    <x v="0"/>
    <d v="2024-10-04T00:00:00"/>
    <x v="0"/>
    <n v="15"/>
    <x v="2"/>
    <s v="Yes"/>
    <x v="0"/>
    <s v="Yes"/>
    <x v="0"/>
    <n v="7"/>
    <n v="58"/>
  </r>
  <r>
    <n v="3453"/>
    <s v="Kléber Oliveira"/>
    <x v="2"/>
    <d v="2024-10-05T00:00:00"/>
    <x v="1"/>
    <n v="10"/>
    <x v="0"/>
    <s v="No"/>
    <x v="1"/>
    <s v="Yes"/>
    <x v="0"/>
    <n v="10"/>
    <n v="20"/>
  </r>
  <r>
    <n v="3454"/>
    <s v="Luciana Morais"/>
    <x v="1"/>
    <d v="2024-10-06T00:00:00"/>
    <x v="0"/>
    <n v="5"/>
    <x v="1"/>
    <s v="No"/>
    <x v="1"/>
    <s v="No"/>
    <x v="1"/>
    <n v="0"/>
    <n v="5"/>
  </r>
  <r>
    <n v="3455"/>
    <s v="Marcos Vinícius"/>
    <x v="0"/>
    <d v="2024-10-07T00:00:00"/>
    <x v="1"/>
    <n v="15"/>
    <x v="0"/>
    <s v="Yes"/>
    <x v="0"/>
    <s v="Yes"/>
    <x v="0"/>
    <n v="20"/>
    <n v="45"/>
  </r>
  <r>
    <n v="3456"/>
    <s v="Natália Barros"/>
    <x v="2"/>
    <d v="2024-10-08T00:00:00"/>
    <x v="0"/>
    <n v="10"/>
    <x v="2"/>
    <s v="No"/>
    <x v="1"/>
    <s v="Yes"/>
    <x v="0"/>
    <n v="15"/>
    <n v="15"/>
  </r>
  <r>
    <n v="3457"/>
    <s v="Oscar Sampaio"/>
    <x v="1"/>
    <d v="2024-10-09T00:00:00"/>
    <x v="1"/>
    <n v="5"/>
    <x v="0"/>
    <s v="No"/>
    <x v="1"/>
    <s v="No"/>
    <x v="1"/>
    <n v="1"/>
    <n v="4"/>
  </r>
  <r>
    <n v="3458"/>
    <s v="Patrícia Leite"/>
    <x v="0"/>
    <d v="2024-10-10T00:00:00"/>
    <x v="0"/>
    <n v="15"/>
    <x v="1"/>
    <s v="Yes"/>
    <x v="0"/>
    <s v="Yes"/>
    <x v="0"/>
    <n v="3"/>
    <n v="62"/>
  </r>
  <r>
    <n v="3459"/>
    <s v="Quênia Rocha"/>
    <x v="2"/>
    <d v="2024-10-11T00:00:00"/>
    <x v="1"/>
    <n v="10"/>
    <x v="0"/>
    <s v="No"/>
    <x v="1"/>
    <s v="Yes"/>
    <x v="0"/>
    <n v="10"/>
    <n v="20"/>
  </r>
  <r>
    <n v="3460"/>
    <s v="Rafael Torres"/>
    <x v="1"/>
    <d v="2024-10-12T00:00:00"/>
    <x v="0"/>
    <n v="5"/>
    <x v="2"/>
    <s v="No"/>
    <x v="1"/>
    <s v="No"/>
    <x v="1"/>
    <n v="0"/>
    <n v="5"/>
  </r>
  <r>
    <n v="3461"/>
    <s v="Sandra Gouveia"/>
    <x v="0"/>
    <d v="2024-10-13T00:00:00"/>
    <x v="1"/>
    <n v="15"/>
    <x v="0"/>
    <s v="Yes"/>
    <x v="0"/>
    <s v="Yes"/>
    <x v="0"/>
    <n v="15"/>
    <n v="50"/>
  </r>
  <r>
    <n v="3462"/>
    <s v="Tiago Lacerda"/>
    <x v="2"/>
    <d v="2024-10-14T00:00:00"/>
    <x v="0"/>
    <n v="10"/>
    <x v="1"/>
    <s v="No"/>
    <x v="1"/>
    <s v="Yes"/>
    <x v="0"/>
    <n v="15"/>
    <n v="15"/>
  </r>
  <r>
    <n v="3463"/>
    <s v="Ursula Fonseca"/>
    <x v="1"/>
    <d v="2024-10-15T00:00:00"/>
    <x v="1"/>
    <n v="5"/>
    <x v="0"/>
    <s v="No"/>
    <x v="1"/>
    <s v="No"/>
    <x v="1"/>
    <n v="1"/>
    <n v="4"/>
  </r>
  <r>
    <n v="3464"/>
    <s v="Vanessa Andrade"/>
    <x v="0"/>
    <d v="2024-10-16T00:00:00"/>
    <x v="0"/>
    <n v="15"/>
    <x v="2"/>
    <s v="Yes"/>
    <x v="0"/>
    <s v="Yes"/>
    <x v="0"/>
    <n v="7"/>
    <n v="58"/>
  </r>
  <r>
    <n v="3465"/>
    <s v="William Castro"/>
    <x v="2"/>
    <d v="2024-10-17T00:00:00"/>
    <x v="1"/>
    <n v="10"/>
    <x v="0"/>
    <s v="No"/>
    <x v="1"/>
    <s v="Yes"/>
    <x v="0"/>
    <n v="10"/>
    <n v="20"/>
  </r>
  <r>
    <n v="3466"/>
    <s v="Xavier Monteiro"/>
    <x v="1"/>
    <d v="2024-10-18T00:00:00"/>
    <x v="0"/>
    <n v="5"/>
    <x v="1"/>
    <s v="No"/>
    <x v="1"/>
    <s v="No"/>
    <x v="1"/>
    <n v="0"/>
    <n v="5"/>
  </r>
  <r>
    <n v="3467"/>
    <s v="Yasmin Figueira"/>
    <x v="0"/>
    <d v="2024-10-19T00:00:00"/>
    <x v="1"/>
    <n v="15"/>
    <x v="0"/>
    <s v="Yes"/>
    <x v="0"/>
    <s v="Yes"/>
    <x v="0"/>
    <n v="15"/>
    <n v="50"/>
  </r>
  <r>
    <n v="3468"/>
    <s v="Zacarias Mendonça"/>
    <x v="2"/>
    <d v="2024-10-20T00:00:00"/>
    <x v="0"/>
    <n v="10"/>
    <x v="2"/>
    <s v="No"/>
    <x v="1"/>
    <s v="Yes"/>
    <x v="0"/>
    <n v="12"/>
    <n v="18"/>
  </r>
  <r>
    <n v="3469"/>
    <s v="Amanda Menezes"/>
    <x v="1"/>
    <d v="2024-10-21T00:00:00"/>
    <x v="1"/>
    <n v="5"/>
    <x v="0"/>
    <s v="No"/>
    <x v="1"/>
    <s v="No"/>
    <x v="1"/>
    <n v="2"/>
    <n v="3"/>
  </r>
  <r>
    <n v="3470"/>
    <s v="Bruno Santos"/>
    <x v="0"/>
    <d v="2024-10-22T00:00:00"/>
    <x v="0"/>
    <n v="15"/>
    <x v="1"/>
    <s v="Yes"/>
    <x v="0"/>
    <s v="Yes"/>
    <x v="0"/>
    <n v="5"/>
    <n v="60"/>
  </r>
  <r>
    <n v="3471"/>
    <s v="Carla Ferreira"/>
    <x v="2"/>
    <d v="2024-10-23T00:00:00"/>
    <x v="1"/>
    <n v="10"/>
    <x v="0"/>
    <s v="No"/>
    <x v="1"/>
    <s v="Yes"/>
    <x v="0"/>
    <n v="10"/>
    <n v="20"/>
  </r>
  <r>
    <n v="3472"/>
    <s v="Diogo Alves"/>
    <x v="1"/>
    <d v="2024-10-24T00:00:00"/>
    <x v="0"/>
    <n v="5"/>
    <x v="2"/>
    <s v="No"/>
    <x v="1"/>
    <s v="No"/>
    <x v="1"/>
    <n v="0"/>
    <n v="5"/>
  </r>
  <r>
    <n v="3473"/>
    <s v="Elisa Neves"/>
    <x v="0"/>
    <d v="2024-10-25T00:00:00"/>
    <x v="1"/>
    <n v="15"/>
    <x v="0"/>
    <s v="Yes"/>
    <x v="0"/>
    <s v="Yes"/>
    <x v="0"/>
    <n v="3"/>
    <n v="62"/>
  </r>
  <r>
    <n v="3474"/>
    <s v="Fabiano Pires"/>
    <x v="2"/>
    <d v="2024-10-26T00:00:00"/>
    <x v="0"/>
    <n v="10"/>
    <x v="1"/>
    <s v="No"/>
    <x v="1"/>
    <s v="Yes"/>
    <x v="0"/>
    <n v="15"/>
    <n v="15"/>
  </r>
  <r>
    <n v="3475"/>
    <s v="Giovana Ribeiro"/>
    <x v="1"/>
    <d v="2024-10-27T00:00:00"/>
    <x v="1"/>
    <n v="5"/>
    <x v="0"/>
    <s v="No"/>
    <x v="1"/>
    <s v="No"/>
    <x v="1"/>
    <n v="1"/>
    <n v="4"/>
  </r>
  <r>
    <n v="3476"/>
    <s v="Hélio Costa"/>
    <x v="0"/>
    <d v="2024-10-28T00:00:00"/>
    <x v="0"/>
    <n v="15"/>
    <x v="2"/>
    <s v="Yes"/>
    <x v="0"/>
    <s v="Yes"/>
    <x v="0"/>
    <n v="7"/>
    <n v="58"/>
  </r>
  <r>
    <n v="3477"/>
    <s v="Íris Loureiro"/>
    <x v="2"/>
    <d v="2024-10-29T00:00:00"/>
    <x v="1"/>
    <n v="10"/>
    <x v="0"/>
    <s v="No"/>
    <x v="1"/>
    <s v="Yes"/>
    <x v="0"/>
    <n v="10"/>
    <n v="20"/>
  </r>
  <r>
    <n v="3478"/>
    <s v="João Pereira"/>
    <x v="1"/>
    <d v="2024-10-30T00:00:00"/>
    <x v="0"/>
    <n v="5"/>
    <x v="1"/>
    <s v="No"/>
    <x v="1"/>
    <s v="No"/>
    <x v="1"/>
    <n v="0"/>
    <n v="5"/>
  </r>
  <r>
    <n v="3479"/>
    <s v="Klara Silva"/>
    <x v="0"/>
    <d v="2024-10-31T00:00:00"/>
    <x v="1"/>
    <n v="15"/>
    <x v="0"/>
    <s v="Yes"/>
    <x v="0"/>
    <s v="Yes"/>
    <x v="0"/>
    <n v="20"/>
    <n v="45"/>
  </r>
  <r>
    <n v="3480"/>
    <s v="Luciana Barros"/>
    <x v="2"/>
    <d v="2024-11-01T00:00:00"/>
    <x v="0"/>
    <n v="10"/>
    <x v="2"/>
    <s v="No"/>
    <x v="1"/>
    <s v="Yes"/>
    <x v="0"/>
    <n v="15"/>
    <n v="15"/>
  </r>
  <r>
    <n v="3481"/>
    <s v="Marcos Gomes"/>
    <x v="1"/>
    <d v="2024-11-02T00:00:00"/>
    <x v="1"/>
    <n v="5"/>
    <x v="0"/>
    <s v="No"/>
    <x v="1"/>
    <s v="No"/>
    <x v="1"/>
    <n v="1"/>
    <n v="4"/>
  </r>
  <r>
    <n v="3482"/>
    <s v="Natália Soares"/>
    <x v="0"/>
    <d v="2024-11-03T00:00:00"/>
    <x v="0"/>
    <n v="15"/>
    <x v="1"/>
    <s v="Yes"/>
    <x v="0"/>
    <s v="Yes"/>
    <x v="0"/>
    <n v="3"/>
    <n v="62"/>
  </r>
  <r>
    <n v="3483"/>
    <s v="Oscar Machado"/>
    <x v="2"/>
    <d v="2024-11-04T00:00:00"/>
    <x v="1"/>
    <n v="10"/>
    <x v="0"/>
    <s v="No"/>
    <x v="1"/>
    <s v="Yes"/>
    <x v="0"/>
    <n v="10"/>
    <n v="20"/>
  </r>
  <r>
    <n v="3484"/>
    <s v="Patrícia Lima"/>
    <x v="1"/>
    <d v="2024-11-05T00:00:00"/>
    <x v="0"/>
    <n v="5"/>
    <x v="2"/>
    <s v="No"/>
    <x v="1"/>
    <s v="No"/>
    <x v="1"/>
    <n v="0"/>
    <n v="5"/>
  </r>
  <r>
    <n v="3485"/>
    <s v="Quirino Neto"/>
    <x v="0"/>
    <d v="2024-11-06T00:00:00"/>
    <x v="1"/>
    <n v="15"/>
    <x v="0"/>
    <s v="Yes"/>
    <x v="0"/>
    <s v="Yes"/>
    <x v="0"/>
    <n v="15"/>
    <n v="50"/>
  </r>
  <r>
    <n v="3486"/>
    <s v="Rafaela Souza"/>
    <x v="1"/>
    <d v="2024-11-07T00:00:00"/>
    <x v="0"/>
    <n v="5"/>
    <x v="0"/>
    <s v="No"/>
    <x v="1"/>
    <s v="No"/>
    <x v="1"/>
    <n v="0"/>
    <n v="5"/>
  </r>
  <r>
    <n v="3487"/>
    <s v="Sandro Almeida"/>
    <x v="0"/>
    <d v="2024-11-08T00:00:00"/>
    <x v="1"/>
    <n v="15"/>
    <x v="2"/>
    <s v="Yes"/>
    <x v="0"/>
    <s v="Yes"/>
    <x v="0"/>
    <n v="7"/>
    <n v="58"/>
  </r>
  <r>
    <n v="3488"/>
    <s v="Tânia Ribeiro"/>
    <x v="2"/>
    <d v="2024-11-09T00:00:00"/>
    <x v="0"/>
    <n v="10"/>
    <x v="1"/>
    <s v="No"/>
    <x v="1"/>
    <s v="Yes"/>
    <x v="0"/>
    <n v="10"/>
    <n v="20"/>
  </r>
  <r>
    <n v="3489"/>
    <s v="Ugo Dias"/>
    <x v="1"/>
    <d v="2024-11-10T00:00:00"/>
    <x v="1"/>
    <n v="5"/>
    <x v="2"/>
    <s v="No"/>
    <x v="1"/>
    <s v="No"/>
    <x v="1"/>
    <n v="1"/>
    <n v="4"/>
  </r>
  <r>
    <n v="3490"/>
    <s v="Valéria Lima"/>
    <x v="0"/>
    <d v="2024-11-11T00:00:00"/>
    <x v="0"/>
    <n v="15"/>
    <x v="0"/>
    <s v="Yes"/>
    <x v="0"/>
    <s v="Yes"/>
    <x v="0"/>
    <n v="15"/>
    <n v="50"/>
  </r>
  <r>
    <n v="3491"/>
    <s v="William Fernandes"/>
    <x v="2"/>
    <d v="2024-11-12T00:00:00"/>
    <x v="1"/>
    <n v="10"/>
    <x v="0"/>
    <s v="No"/>
    <x v="1"/>
    <s v="Yes"/>
    <x v="0"/>
    <n v="5"/>
    <n v="25"/>
  </r>
  <r>
    <n v="3492"/>
    <s v="Xuxa Mendes"/>
    <x v="1"/>
    <d v="2024-11-13T00:00:00"/>
    <x v="0"/>
    <n v="5"/>
    <x v="1"/>
    <s v="No"/>
    <x v="1"/>
    <s v="No"/>
    <x v="1"/>
    <n v="0"/>
    <n v="5"/>
  </r>
  <r>
    <n v="3493"/>
    <s v="Ygor Farias"/>
    <x v="0"/>
    <d v="2024-11-14T00:00:00"/>
    <x v="1"/>
    <n v="15"/>
    <x v="2"/>
    <s v="Yes"/>
    <x v="0"/>
    <s v="Yes"/>
    <x v="0"/>
    <n v="20"/>
    <n v="45"/>
  </r>
  <r>
    <n v="3494"/>
    <s v="Zilda Barros"/>
    <x v="2"/>
    <d v="2024-11-15T00:00:00"/>
    <x v="0"/>
    <n v="10"/>
    <x v="2"/>
    <s v="No"/>
    <x v="1"/>
    <s v="Yes"/>
    <x v="0"/>
    <n v="12"/>
    <n v="18"/>
  </r>
  <r>
    <n v="3495"/>
    <s v="Amanda Santos"/>
    <x v="1"/>
    <d v="2024-11-16T00:00:00"/>
    <x v="1"/>
    <n v="5"/>
    <x v="0"/>
    <s v="No"/>
    <x v="1"/>
    <s v="No"/>
    <x v="1"/>
    <n v="2"/>
    <n v="3"/>
  </r>
  <r>
    <n v="3496"/>
    <s v="Bruno Costa"/>
    <x v="0"/>
    <d v="2024-11-17T00:00:00"/>
    <x v="0"/>
    <n v="15"/>
    <x v="1"/>
    <s v="Yes"/>
    <x v="0"/>
    <s v="Yes"/>
    <x v="0"/>
    <n v="5"/>
    <n v="60"/>
  </r>
  <r>
    <n v="3497"/>
    <s v="Carla Rodrigues"/>
    <x v="2"/>
    <d v="2024-11-18T00:00:00"/>
    <x v="1"/>
    <n v="10"/>
    <x v="0"/>
    <s v="No"/>
    <x v="1"/>
    <s v="Yes"/>
    <x v="0"/>
    <n v="10"/>
    <n v="20"/>
  </r>
  <r>
    <n v="3498"/>
    <s v="Diogo Pereira"/>
    <x v="1"/>
    <d v="2024-11-19T00:00:00"/>
    <x v="0"/>
    <n v="5"/>
    <x v="2"/>
    <s v="No"/>
    <x v="1"/>
    <s v="No"/>
    <x v="1"/>
    <n v="0"/>
    <n v="5"/>
  </r>
  <r>
    <n v="3499"/>
    <s v="Elisa Correia"/>
    <x v="0"/>
    <d v="2024-11-20T00:00:00"/>
    <x v="1"/>
    <n v="15"/>
    <x v="0"/>
    <s v="Yes"/>
    <x v="0"/>
    <s v="Yes"/>
    <x v="0"/>
    <n v="3"/>
    <n v="62"/>
  </r>
  <r>
    <n v="3500"/>
    <s v="Fábio Lourenço"/>
    <x v="2"/>
    <d v="2024-11-21T00:00:00"/>
    <x v="0"/>
    <n v="10"/>
    <x v="1"/>
    <s v="No"/>
    <x v="1"/>
    <s v="Yes"/>
    <x v="0"/>
    <n v="15"/>
    <n v="15"/>
  </r>
  <r>
    <n v="3501"/>
    <s v="Gabriela Neves"/>
    <x v="1"/>
    <d v="2024-11-22T00:00:00"/>
    <x v="1"/>
    <n v="5"/>
    <x v="0"/>
    <s v="No"/>
    <x v="1"/>
    <s v="No"/>
    <x v="1"/>
    <n v="1"/>
    <n v="4"/>
  </r>
  <r>
    <n v="3502"/>
    <s v="Henrique Gonçalves"/>
    <x v="0"/>
    <d v="2024-11-23T00:00:00"/>
    <x v="0"/>
    <n v="15"/>
    <x v="2"/>
    <s v="Yes"/>
    <x v="0"/>
    <s v="Yes"/>
    <x v="0"/>
    <n v="7"/>
    <n v="58"/>
  </r>
  <r>
    <n v="3503"/>
    <s v="Íris Santos"/>
    <x v="2"/>
    <d v="2024-11-24T00:00:00"/>
    <x v="1"/>
    <n v="10"/>
    <x v="0"/>
    <s v="No"/>
    <x v="1"/>
    <s v="Yes"/>
    <x v="0"/>
    <n v="10"/>
    <n v="20"/>
  </r>
  <r>
    <n v="3504"/>
    <s v="João Marcelo Alves"/>
    <x v="1"/>
    <d v="2024-11-25T00:00:00"/>
    <x v="0"/>
    <n v="5"/>
    <x v="1"/>
    <s v="No"/>
    <x v="1"/>
    <s v="No"/>
    <x v="1"/>
    <n v="0"/>
    <n v="5"/>
  </r>
  <r>
    <n v="3505"/>
    <s v="Klara Fonseca"/>
    <x v="0"/>
    <d v="2024-11-26T00:00:00"/>
    <x v="1"/>
    <n v="15"/>
    <x v="0"/>
    <s v="Yes"/>
    <x v="0"/>
    <s v="Yes"/>
    <x v="0"/>
    <n v="20"/>
    <n v="45"/>
  </r>
  <r>
    <n v="3506"/>
    <s v="Lucas Mendonça"/>
    <x v="2"/>
    <d v="2024-11-27T00:00:00"/>
    <x v="0"/>
    <n v="10"/>
    <x v="2"/>
    <s v="No"/>
    <x v="1"/>
    <s v="Yes"/>
    <x v="0"/>
    <n v="15"/>
    <n v="15"/>
  </r>
  <r>
    <n v="3507"/>
    <s v="Marcela Torres"/>
    <x v="1"/>
    <d v="2024-11-28T00:00:00"/>
    <x v="1"/>
    <n v="5"/>
    <x v="0"/>
    <s v="No"/>
    <x v="1"/>
    <s v="No"/>
    <x v="1"/>
    <n v="1"/>
    <n v="4"/>
  </r>
  <r>
    <n v="3508"/>
    <s v="Natália Castro"/>
    <x v="0"/>
    <d v="2024-11-29T00:00:00"/>
    <x v="0"/>
    <n v="15"/>
    <x v="1"/>
    <s v="Yes"/>
    <x v="0"/>
    <s v="Yes"/>
    <x v="0"/>
    <n v="3"/>
    <n v="62"/>
  </r>
  <r>
    <n v="3509"/>
    <s v="Oscar Martins"/>
    <x v="2"/>
    <d v="2024-11-30T00:00:00"/>
    <x v="1"/>
    <n v="10"/>
    <x v="0"/>
    <s v="No"/>
    <x v="1"/>
    <s v="Yes"/>
    <x v="0"/>
    <n v="10"/>
    <n v="20"/>
  </r>
  <r>
    <n v="3510"/>
    <s v="Patrícia Oliveira"/>
    <x v="1"/>
    <d v="2024-12-01T00:00:00"/>
    <x v="0"/>
    <n v="5"/>
    <x v="2"/>
    <s v="No"/>
    <x v="1"/>
    <s v="No"/>
    <x v="1"/>
    <n v="0"/>
    <n v="5"/>
  </r>
  <r>
    <n v="3511"/>
    <s v="Quentin Nogueira"/>
    <x v="0"/>
    <d v="2024-12-02T00:00:00"/>
    <x v="1"/>
    <n v="15"/>
    <x v="0"/>
    <s v="Yes"/>
    <x v="0"/>
    <s v="Yes"/>
    <x v="0"/>
    <n v="15"/>
    <n v="50"/>
  </r>
  <r>
    <n v="3512"/>
    <s v="Raquel Silva"/>
    <x v="2"/>
    <d v="2024-12-03T00:00:00"/>
    <x v="0"/>
    <n v="10"/>
    <x v="1"/>
    <s v="No"/>
    <x v="1"/>
    <s v="Yes"/>
    <x v="0"/>
    <n v="15"/>
    <n v="15"/>
  </r>
  <r>
    <n v="3513"/>
    <s v="Sandro Gomes"/>
    <x v="1"/>
    <d v="2024-12-04T00:00:00"/>
    <x v="1"/>
    <n v="5"/>
    <x v="0"/>
    <s v="No"/>
    <x v="1"/>
    <s v="No"/>
    <x v="1"/>
    <n v="1"/>
    <n v="4"/>
  </r>
  <r>
    <n v="3514"/>
    <s v="Tânia Machado"/>
    <x v="0"/>
    <d v="2024-12-05T00:00:00"/>
    <x v="0"/>
    <n v="15"/>
    <x v="2"/>
    <s v="Yes"/>
    <x v="0"/>
    <s v="Yes"/>
    <x v="0"/>
    <n v="7"/>
    <n v="58"/>
  </r>
  <r>
    <n v="3515"/>
    <s v="Ursula Silva"/>
    <x v="2"/>
    <d v="2024-12-06T00:00:00"/>
    <x v="1"/>
    <n v="10"/>
    <x v="0"/>
    <s v="No"/>
    <x v="1"/>
    <s v="Yes"/>
    <x v="0"/>
    <n v="10"/>
    <n v="20"/>
  </r>
  <r>
    <n v="3516"/>
    <s v="Vanessa Moraes"/>
    <x v="1"/>
    <d v="2024-12-07T00:00:00"/>
    <x v="0"/>
    <n v="5"/>
    <x v="1"/>
    <s v="No"/>
    <x v="1"/>
    <s v="No"/>
    <x v="1"/>
    <n v="0"/>
    <n v="5"/>
  </r>
  <r>
    <n v="3517"/>
    <s v="William Carvalho"/>
    <x v="0"/>
    <d v="2024-12-08T00:00:00"/>
    <x v="1"/>
    <n v="15"/>
    <x v="0"/>
    <s v="Yes"/>
    <x v="0"/>
    <s v="Yes"/>
    <x v="0"/>
    <n v="20"/>
    <n v="45"/>
  </r>
  <r>
    <n v="3518"/>
    <s v="Xavier Reis"/>
    <x v="2"/>
    <d v="2024-12-09T00:00:00"/>
    <x v="0"/>
    <n v="10"/>
    <x v="2"/>
    <s v="No"/>
    <x v="1"/>
    <s v="Yes"/>
    <x v="0"/>
    <n v="12"/>
    <n v="18"/>
  </r>
  <r>
    <n v="3519"/>
    <s v="Yasmin Rocha"/>
    <x v="1"/>
    <d v="2024-12-10T00:00:00"/>
    <x v="1"/>
    <n v="5"/>
    <x v="0"/>
    <s v="No"/>
    <x v="1"/>
    <s v="No"/>
    <x v="1"/>
    <n v="2"/>
    <n v="3"/>
  </r>
  <r>
    <n v="3520"/>
    <s v="Zacarias Duarte"/>
    <x v="0"/>
    <d v="2024-12-11T00:00:00"/>
    <x v="0"/>
    <n v="15"/>
    <x v="1"/>
    <s v="Yes"/>
    <x v="0"/>
    <s v="Yes"/>
    <x v="0"/>
    <n v="5"/>
    <n v="60"/>
  </r>
  <r>
    <n v="3521"/>
    <s v="Amanda Freitas"/>
    <x v="2"/>
    <d v="2024-12-12T00:00:00"/>
    <x v="1"/>
    <n v="10"/>
    <x v="0"/>
    <s v="No"/>
    <x v="1"/>
    <s v="Yes"/>
    <x v="0"/>
    <n v="10"/>
    <n v="20"/>
  </r>
  <r>
    <n v="3522"/>
    <s v="Bruno Almeida"/>
    <x v="1"/>
    <d v="2024-12-13T00:00:00"/>
    <x v="0"/>
    <n v="5"/>
    <x v="2"/>
    <s v="No"/>
    <x v="1"/>
    <s v="No"/>
    <x v="1"/>
    <n v="0"/>
    <n v="5"/>
  </r>
  <r>
    <n v="3523"/>
    <s v="Carla Siqueira"/>
    <x v="0"/>
    <d v="2024-12-14T00:00:00"/>
    <x v="1"/>
    <n v="15"/>
    <x v="0"/>
    <s v="Yes"/>
    <x v="0"/>
    <s v="Yes"/>
    <x v="0"/>
    <n v="3"/>
    <n v="62"/>
  </r>
  <r>
    <n v="3524"/>
    <s v="Diogo Ramos"/>
    <x v="2"/>
    <d v="2024-12-15T00:00:00"/>
    <x v="0"/>
    <n v="10"/>
    <x v="1"/>
    <s v="No"/>
    <x v="1"/>
    <s v="Yes"/>
    <x v="0"/>
    <n v="15"/>
    <n v="15"/>
  </r>
  <r>
    <n v="3525"/>
    <s v="Elisa Magalhães"/>
    <x v="1"/>
    <d v="2024-12-16T00:00:00"/>
    <x v="1"/>
    <n v="5"/>
    <x v="0"/>
    <s v="No"/>
    <x v="1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E07CB-60D2-45CF-A7E6-04FC913EB366}" name="tbl_anual" cacheId="10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7">
  <location ref="A8:C12" firstHeaderRow="1" firstDataRow="1" firstDataCol="2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Row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2">
    <field x="6"/>
    <field x="4"/>
  </rowFields>
  <rowItems count="4">
    <i>
      <x/>
      <x/>
    </i>
    <i r="1">
      <x v="1"/>
    </i>
    <i t="default">
      <x/>
    </i>
    <i t="grand">
      <x/>
    </i>
  </rowItems>
  <colItems count="1">
    <i/>
  </colItems>
  <dataFields count="1">
    <dataField name="Sum of Total Value" fld="12" baseField="0" baseItem="0" numFmtId="44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6F405-73E7-49AA-BA91-230404C7B496}" name="PivotTable3" cacheId="10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7">
  <location ref="A17:C21" firstHeaderRow="1" firstDataRow="1" firstDataCol="2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Row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2">
    <field x="6"/>
    <field x="4"/>
  </rowFields>
  <rowItems count="4">
    <i>
      <x/>
      <x/>
    </i>
    <i r="1">
      <x v="1"/>
    </i>
    <i t="default">
      <x/>
    </i>
    <i t="grand">
      <x/>
    </i>
  </rowItems>
  <colItems count="1">
    <i/>
  </colItems>
  <dataFields count="1">
    <dataField name="Sum of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B45B1-8D53-400C-A195-3C4F7CC5F938}" name="tbl_ii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1" firstDataRow="1" firstDataCol="2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Row" compact="0" outline="0" showAll="0">
      <items count="4">
        <item x="1"/>
        <item h="1" x="0"/>
        <item h="1"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2">
    <field x="6"/>
    <field x="2"/>
  </rowFields>
  <rowItems count="5">
    <i>
      <x/>
      <x/>
    </i>
    <i r="1">
      <x v="1"/>
    </i>
    <i r="1">
      <x v="2"/>
    </i>
    <i t="default">
      <x/>
    </i>
    <i t="grand">
      <x/>
    </i>
  </rowItems>
  <colItems count="1">
    <i/>
  </colItems>
  <dataFields count="1">
    <dataField name="Sum of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86BE8-F01F-4F56-9930-DE24B0E856C5}" name="PivotTable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axis="axisRow" dataField="1" compact="0" numFmtId="44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um of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Type" xr10:uid="{60A17F86-5AF1-4204-B095-FFEFB946B5EB}" sourceName="Subscription Type">
  <pivotTables>
    <pivotTable tabId="5" name="tbl_anual"/>
    <pivotTable tabId="5" name="PivotTable3"/>
    <pivotTable tabId="6" name="tbl_ii"/>
    <pivotTable tabId="7" name="PivotTable1"/>
  </pivotTables>
  <data>
    <tabular pivotCacheId="175738046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74D3238-4B4C-4091-B9EF-8BD7113C5AE1}" cache="Slicer_Subscription_Type" caption="Subscription 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3EE7E8BE-1660-420E-A7AD-3308E71AFDD6}" cache="Slicer_Subscription_Type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C30" sqref="C3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E2C5-4148-46C8-B869-3221A9995867}">
  <dimension ref="A3:C21"/>
  <sheetViews>
    <sheetView workbookViewId="0">
      <selection activeCell="B14" sqref="B14"/>
    </sheetView>
  </sheetViews>
  <sheetFormatPr defaultRowHeight="15"/>
  <cols>
    <col min="1" max="1" width="17" customWidth="1"/>
    <col min="2" max="3" width="17.85546875" bestFit="1" customWidth="1"/>
  </cols>
  <sheetData>
    <row r="3" spans="1:3">
      <c r="A3" s="14" t="s">
        <v>313</v>
      </c>
    </row>
    <row r="4" spans="1:3">
      <c r="A4" s="14" t="s">
        <v>314</v>
      </c>
    </row>
    <row r="5" spans="1:3">
      <c r="A5" s="14"/>
    </row>
    <row r="6" spans="1:3">
      <c r="A6" s="14"/>
    </row>
    <row r="8" spans="1:3">
      <c r="A8" s="12" t="s">
        <v>17</v>
      </c>
      <c r="B8" s="12" t="s">
        <v>15</v>
      </c>
      <c r="C8" t="s">
        <v>315</v>
      </c>
    </row>
    <row r="9" spans="1:3">
      <c r="A9" t="s">
        <v>31</v>
      </c>
      <c r="B9" t="s">
        <v>30</v>
      </c>
      <c r="C9" s="13">
        <v>217</v>
      </c>
    </row>
    <row r="10" spans="1:3">
      <c r="B10" t="s">
        <v>26</v>
      </c>
      <c r="C10" s="13">
        <v>1537</v>
      </c>
    </row>
    <row r="11" spans="1:3">
      <c r="A11" t="s">
        <v>316</v>
      </c>
      <c r="C11" s="13">
        <v>1754</v>
      </c>
    </row>
    <row r="12" spans="1:3">
      <c r="A12" t="s">
        <v>317</v>
      </c>
      <c r="C12" s="13">
        <v>1754</v>
      </c>
    </row>
    <row r="17" spans="1:3">
      <c r="A17" s="12" t="s">
        <v>17</v>
      </c>
      <c r="B17" s="12" t="s">
        <v>15</v>
      </c>
      <c r="C17" t="s">
        <v>315</v>
      </c>
    </row>
    <row r="18" spans="1:3">
      <c r="A18" t="s">
        <v>31</v>
      </c>
      <c r="B18" t="s">
        <v>30</v>
      </c>
      <c r="C18" s="13">
        <v>217</v>
      </c>
    </row>
    <row r="19" spans="1:3">
      <c r="B19" t="s">
        <v>26</v>
      </c>
      <c r="C19" s="13">
        <v>1537</v>
      </c>
    </row>
    <row r="20" spans="1:3">
      <c r="A20" t="s">
        <v>316</v>
      </c>
      <c r="C20" s="13">
        <v>1754</v>
      </c>
    </row>
    <row r="21" spans="1:3">
      <c r="A21" t="s">
        <v>317</v>
      </c>
      <c r="C21" s="13">
        <v>1754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6D51-A604-4AC0-8FCA-8DA531AD0251}">
  <dimension ref="A3:E8"/>
  <sheetViews>
    <sheetView workbookViewId="0">
      <selection activeCell="E7" sqref="E7"/>
    </sheetView>
  </sheetViews>
  <sheetFormatPr defaultRowHeight="15"/>
  <cols>
    <col min="1" max="1" width="20.28515625" bestFit="1" customWidth="1"/>
    <col min="2" max="2" width="9" bestFit="1" customWidth="1"/>
    <col min="3" max="3" width="30.85546875" bestFit="1" customWidth="1"/>
    <col min="5" max="5" width="10.5703125" bestFit="1" customWidth="1"/>
  </cols>
  <sheetData>
    <row r="3" spans="1:5">
      <c r="A3" s="12" t="s">
        <v>17</v>
      </c>
      <c r="B3" s="12" t="s">
        <v>13</v>
      </c>
      <c r="C3" t="s">
        <v>318</v>
      </c>
    </row>
    <row r="4" spans="1:5">
      <c r="A4" t="s">
        <v>31</v>
      </c>
      <c r="B4" t="s">
        <v>29</v>
      </c>
      <c r="C4" s="17">
        <v>0</v>
      </c>
    </row>
    <row r="5" spans="1:5">
      <c r="B5" t="s">
        <v>34</v>
      </c>
      <c r="C5" s="17">
        <v>0</v>
      </c>
    </row>
    <row r="6" spans="1:5">
      <c r="B6" t="s">
        <v>25</v>
      </c>
      <c r="C6" s="17">
        <v>600</v>
      </c>
    </row>
    <row r="7" spans="1:5">
      <c r="A7" t="s">
        <v>316</v>
      </c>
      <c r="C7" s="17">
        <v>600</v>
      </c>
      <c r="E7" s="19">
        <f>GETPIVOTDATA("Sum of EA Play Season PassPrice", $A$3)</f>
        <v>600</v>
      </c>
    </row>
    <row r="8" spans="1:5">
      <c r="A8" t="s">
        <v>317</v>
      </c>
      <c r="C8" s="17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E1BB-2186-4FB8-98BE-A268F4E06B9C}">
  <dimension ref="A1:D6"/>
  <sheetViews>
    <sheetView workbookViewId="0">
      <selection activeCell="E10" sqref="E10"/>
    </sheetView>
  </sheetViews>
  <sheetFormatPr defaultRowHeight="15"/>
  <cols>
    <col min="1" max="1" width="29.85546875" bestFit="1" customWidth="1"/>
    <col min="2" max="2" width="33.42578125" bestFit="1" customWidth="1"/>
    <col min="4" max="4" width="9.85546875" bestFit="1" customWidth="1"/>
  </cols>
  <sheetData>
    <row r="1" spans="1:4">
      <c r="A1" s="12" t="s">
        <v>17</v>
      </c>
      <c r="B1" t="s">
        <v>31</v>
      </c>
    </row>
    <row r="3" spans="1:4">
      <c r="A3" s="12" t="s">
        <v>21</v>
      </c>
      <c r="B3" t="s">
        <v>319</v>
      </c>
    </row>
    <row r="4" spans="1:4">
      <c r="A4" s="13">
        <v>0</v>
      </c>
      <c r="B4" s="13">
        <v>0</v>
      </c>
    </row>
    <row r="5" spans="1:4">
      <c r="A5" s="13">
        <v>20</v>
      </c>
      <c r="B5" s="13">
        <v>940</v>
      </c>
    </row>
    <row r="6" spans="1:4">
      <c r="A6" s="13" t="s">
        <v>317</v>
      </c>
      <c r="B6" s="13">
        <v>940</v>
      </c>
      <c r="D6" s="19">
        <f>GETPIVOTDATA("Sum of Minecraft Season Pass Price", $A$3)</f>
        <v>940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42"/>
  <sheetViews>
    <sheetView showGridLines="0" tabSelected="1" zoomScale="80" zoomScaleNormal="80" workbookViewId="0">
      <selection activeCell="B5" sqref="B5"/>
    </sheetView>
  </sheetViews>
  <sheetFormatPr defaultRowHeight="15"/>
  <cols>
    <col min="1" max="1" width="8.5703125" style="15" customWidth="1"/>
    <col min="2" max="2" width="51" bestFit="1" customWidth="1"/>
    <col min="4" max="4" width="17.85546875" bestFit="1" customWidth="1"/>
    <col min="10" max="10" width="5.7109375" customWidth="1"/>
    <col min="11" max="11" width="13.28515625" customWidth="1"/>
    <col min="12" max="12" width="18.85546875" bestFit="1" customWidth="1"/>
    <col min="13" max="13" width="13.28515625" customWidth="1"/>
    <col min="14" max="14" width="5.7109375" customWidth="1"/>
  </cols>
  <sheetData>
    <row r="1" spans="1:15" s="21" customFormat="1" ht="82.5" customHeight="1"/>
    <row r="2" spans="1:15" s="15" customFormat="1"/>
    <row r="3" spans="1:15" ht="14.25" customHeight="1">
      <c r="A3" s="16"/>
      <c r="B3" s="23" t="s">
        <v>320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8"/>
    </row>
    <row r="4" spans="1:15">
      <c r="B4" t="s">
        <v>321</v>
      </c>
    </row>
    <row r="5" spans="1:15" s="7" customFormat="1"/>
    <row r="6" spans="1:15" s="7" customForma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s="7" customForma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s="7" customFormat="1">
      <c r="A8" s="15"/>
      <c r="B8" s="15"/>
      <c r="C8" s="15"/>
      <c r="D8" s="15"/>
      <c r="E8" s="15"/>
      <c r="F8" s="15"/>
      <c r="G8" s="15"/>
      <c r="H8" s="15"/>
      <c r="I8" s="15"/>
      <c r="J8" s="15"/>
      <c r="K8" s="25"/>
      <c r="L8" s="25"/>
      <c r="M8" s="25"/>
      <c r="N8" s="15"/>
      <c r="O8" s="15"/>
    </row>
    <row r="9" spans="1:15" s="7" customFormat="1">
      <c r="A9" s="15"/>
      <c r="B9" s="15"/>
      <c r="C9" s="15"/>
      <c r="D9" s="15"/>
      <c r="E9" s="15"/>
      <c r="F9" s="15"/>
      <c r="G9" s="15"/>
      <c r="H9" s="15"/>
      <c r="I9" s="15"/>
      <c r="J9" s="15"/>
      <c r="K9" s="18"/>
      <c r="L9" s="18"/>
      <c r="M9" s="18"/>
      <c r="N9" s="15"/>
      <c r="O9" s="15"/>
    </row>
    <row r="10" spans="1:15" s="7" customFormat="1" ht="2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8"/>
      <c r="L10" s="20">
        <f>Sheet2!E7</f>
        <v>600</v>
      </c>
      <c r="M10" s="18"/>
      <c r="N10" s="15"/>
      <c r="O10" s="15"/>
    </row>
    <row r="11" spans="1:15" s="7" customForma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8"/>
      <c r="L11" s="18"/>
      <c r="M11" s="18"/>
      <c r="N11" s="15"/>
      <c r="O11" s="15"/>
    </row>
    <row r="12" spans="1:15" s="7" customFormat="1" ht="16.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5"/>
      <c r="L12" s="26" t="s">
        <v>322</v>
      </c>
      <c r="M12" s="25"/>
      <c r="N12" s="15"/>
      <c r="O12" s="15"/>
    </row>
    <row r="13" spans="1:15" s="7" customForma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s="7" customForma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s="7" customForma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s="7" customForma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25"/>
      <c r="L16" s="25"/>
      <c r="M16" s="25"/>
      <c r="N16" s="15"/>
      <c r="O16" s="15"/>
    </row>
    <row r="17" spans="1:15" s="7" customForma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8"/>
      <c r="L17" s="18"/>
      <c r="M17" s="18"/>
      <c r="N17" s="15"/>
      <c r="O17" s="15"/>
    </row>
    <row r="18" spans="1:15" s="7" customFormat="1" ht="2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8"/>
      <c r="L18" s="24">
        <f>Sheet3!D6</f>
        <v>940</v>
      </c>
      <c r="M18" s="18"/>
      <c r="N18" s="15"/>
      <c r="O18" s="15"/>
    </row>
    <row r="19" spans="1:15" s="7" customForma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8"/>
      <c r="L19" s="18"/>
      <c r="M19" s="18"/>
      <c r="N19" s="15"/>
      <c r="O19" s="15"/>
    </row>
    <row r="20" spans="1:15" s="7" customFormat="1" ht="16.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25"/>
      <c r="L20" s="27" t="s">
        <v>323</v>
      </c>
      <c r="M20" s="25"/>
      <c r="N20" s="15"/>
      <c r="O20" s="15"/>
    </row>
    <row r="21" spans="1:15" s="7" customFormat="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s="7" customForma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s="7" customForma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s="7" customForma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s="7" customFormat="1"/>
    <row r="26" spans="1:15" s="7" customFormat="1"/>
    <row r="27" spans="1:15" s="7" customFormat="1"/>
    <row r="28" spans="1:15" s="7" customFormat="1"/>
    <row r="29" spans="1:15" s="7" customFormat="1"/>
    <row r="30" spans="1:15" s="7" customFormat="1"/>
    <row r="31" spans="1:15" s="7" customFormat="1"/>
    <row r="32" spans="1:15" s="7" customFormat="1"/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Anna Lima</cp:lastModifiedBy>
  <cp:revision/>
  <dcterms:created xsi:type="dcterms:W3CDTF">2024-12-19T13:13:10Z</dcterms:created>
  <dcterms:modified xsi:type="dcterms:W3CDTF">2026-08-29T19:29:50Z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